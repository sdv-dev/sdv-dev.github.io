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ins" sheetId="1" r:id="rId5"/>
    <sheet state="visible" name="2026-02-01_Detailed_results" sheetId="2" r:id="rId6"/>
    <sheet state="visible" name="2026-02-01_plot_data" sheetId="3" r:id="rId7"/>
    <sheet state="visible" name="2026-01-01_Detailed_results" sheetId="4" r:id="rId8"/>
    <sheet state="visible" name="2026-01-01_plot_data" sheetId="5" r:id="rId9"/>
    <sheet state="visible" name="2025-12-01_Detailed_results" sheetId="6" r:id="rId10"/>
    <sheet state="visible" name="2025-12-01_plot_data" sheetId="7" r:id="rId11"/>
    <sheet state="visible" name="2025-11-01_Detailed_results" sheetId="8" r:id="rId12"/>
    <sheet state="visible" name="2025-11-01_plot_data" sheetId="9" r:id="rId13"/>
    <sheet state="visible" name="2025-10-14_Detailed_results" sheetId="10" r:id="rId14"/>
    <sheet state="visible" name="2025-10-14_plot_data" sheetId="11" r:id="rId15"/>
    <sheet state="visible" name="2025-08-05_Detailed_results" sheetId="12" r:id="rId16"/>
    <sheet state="visible" name="2025-08-05_plot_data" sheetId="13" r:id="rId17"/>
    <sheet state="visible" name="2025-08-05_plot_image" sheetId="14" r:id="rId18"/>
    <sheet state="visible" name="02-24-2025-Detailed-results" sheetId="15" r:id="rId19"/>
    <sheet state="visible" name="12-17-2024-Detailed-results" sheetId="16" r:id="rId20"/>
    <sheet state="visible" name="10-11-2024-Detailed-results" sheetId="17" r:id="rId21"/>
    <sheet state="visible" name="08-08-2024-Detailed-results" sheetId="18" r:id="rId22"/>
    <sheet state="visible" name="05-10-2024-Detailed-results" sheetId="19" r:id="rId23"/>
    <sheet state="visible" name="04-05-2024-Detailed-results" sheetId="20" r:id="rId24"/>
  </sheets>
  <definedNames/>
  <calcPr/>
</workbook>
</file>

<file path=xl/sharedStrings.xml><?xml version="1.0" encoding="utf-8"?>
<sst xmlns="http://schemas.openxmlformats.org/spreadsheetml/2006/main" count="1592" uniqueCount="81">
  <si>
    <t>Synthesizer</t>
  </si>
  <si>
    <t>02_01_2026 - # datasets: 9 - sdgym version: 0.13.0</t>
  </si>
  <si>
    <t>01_01_2026 - # datasets: 9 - sdgym version: 0.12.1</t>
  </si>
  <si>
    <t>12_01_2025 - # datasets: 9 - sdgym version: 0.12.0</t>
  </si>
  <si>
    <t>11_01_2025 - # datasets: 9 - sdgym version: 0.11.0</t>
  </si>
  <si>
    <t>10_14_2025 - # datasets: 9 - sdgym version: 0.10.1.dev0</t>
  </si>
  <si>
    <t>08_05_2025 - # datasets: 9 - sdgym version: 0.10.1.dev0</t>
  </si>
  <si>
    <t>02_24_2025 - # datasets: 9 - sdgym version: 0.10.0</t>
  </si>
  <si>
    <t>12_17_2024 - # datasets: 9 - sdgym version: 0.9.1</t>
  </si>
  <si>
    <t>10_11_2024 - # datasets: 9 - sdgym version: 0.9.1</t>
  </si>
  <si>
    <t>08_08_2024 - # datasets: 9 - sdgym version: 0.9.0</t>
  </si>
  <si>
    <t>05_10_2024 - # datasets: 9 - sdgym version: 0.8.0</t>
  </si>
  <si>
    <t>04_05_2024 - # datasets: 9 - sdgym version: 0.7.0</t>
  </si>
  <si>
    <t>CTGANSynthesizer</t>
  </si>
  <si>
    <t>ColumnSynthesizer</t>
  </si>
  <si>
    <t>-</t>
  </si>
  <si>
    <t>CopulaGANSynthesizer</t>
  </si>
  <si>
    <t>RealTabFormerSynthesizer</t>
  </si>
  <si>
    <t>TVAESynthesizer</t>
  </si>
  <si>
    <t>UniformSynthesizer</t>
  </si>
  <si>
    <t>Dataset</t>
  </si>
  <si>
    <t>Dataset_Size_MB</t>
  </si>
  <si>
    <t>Train_Time</t>
  </si>
  <si>
    <t>Peak_Memory_MB</t>
  </si>
  <si>
    <t>Synthesizer_Size_MB</t>
  </si>
  <si>
    <t>Sample_Time</t>
  </si>
  <si>
    <t>Evaluate_Time</t>
  </si>
  <si>
    <t>Diagnostic_Score</t>
  </si>
  <si>
    <t>Quality_Score</t>
  </si>
  <si>
    <t>Adjusted_Total_Time</t>
  </si>
  <si>
    <t>Adjusted_Quality_Score</t>
  </si>
  <si>
    <t>Win</t>
  </si>
  <si>
    <t>adult</t>
  </si>
  <si>
    <t>GaussianCopulaSynthesizer</t>
  </si>
  <si>
    <t>alarm</t>
  </si>
  <si>
    <t>census</t>
  </si>
  <si>
    <t>child</t>
  </si>
  <si>
    <t>covtype</t>
  </si>
  <si>
    <t>expedia_hotel_logs</t>
  </si>
  <si>
    <t>insurance</t>
  </si>
  <si>
    <t>intrusion</t>
  </si>
  <si>
    <t>news</t>
  </si>
  <si>
    <t>Aggregated_Time</t>
  </si>
  <si>
    <t>Log10 Aggregated_Time</t>
  </si>
  <si>
    <t>Pareto</t>
  </si>
  <si>
    <t>Color</t>
  </si>
  <si>
    <t>Marker</t>
  </si>
  <si>
    <t>Uniform</t>
  </si>
  <si>
    <t>#01E0C9</t>
  </si>
  <si>
    <t>circle</t>
  </si>
  <si>
    <t>Column</t>
  </si>
  <si>
    <t>square</t>
  </si>
  <si>
    <t>GaussianCopula</t>
  </si>
  <si>
    <t>diamond</t>
  </si>
  <si>
    <t>TVAE</t>
  </si>
  <si>
    <t>cross</t>
  </si>
  <si>
    <t>CTGAN</t>
  </si>
  <si>
    <t>#03AFF1</t>
  </si>
  <si>
    <t>x</t>
  </si>
  <si>
    <t>CopulaGAN</t>
  </si>
  <si>
    <t>triangle-up</t>
  </si>
  <si>
    <t>RealTabFormer</t>
  </si>
  <si>
    <t>triangle-down</t>
  </si>
  <si>
    <t>error</t>
  </si>
  <si>
    <t>Synthesizer Timeout</t>
  </si>
  <si>
    <t>RuntimeError: Error(s) in loading state_dict for GPT2LMHeadModel:
	size mismatch for transformer.wte.weight: copying a param with shape torch.Size([386, 768]) from checkpoint, the shape in current model is torch.Size([2739, 768]).</t>
  </si>
  <si>
    <t>RuntimeError: Error(s) in loading state_dict for GPT2LMHeadModel:
	size mismatch for transformer.wte.weight: copying a param with shape torch.Size([386, 768]) from checkpoint, the shape in current model is torch.Size([100, 768]).</t>
  </si>
  <si>
    <t>RuntimeError: Parent directory rtf_checkpoints/checkpoint-14900 does not exist.</t>
  </si>
  <si>
    <t>RuntimeError: Error(s) in loading state_dict for GPT2LMHeadModel:
	size mismatch for transformer.wte.weight: copying a param with shape torch.Size([386, 768]) from checkpoint, the shape in current model is torch.Size([891, 768]).</t>
  </si>
  <si>
    <t>RuntimeError: Error(s) in loading state_dict for GPT2LMHeadModel:
	size mismatch for transformer.wte.weight: copying a param with shape torch.Size([386, 768]) from checkpoint, the shape in current model is torch.Size([506, 768]).</t>
  </si>
  <si>
    <t>RuntimeError: Parent directory rtf_checkpoints/checkpoint-16500 does not exist.</t>
  </si>
  <si>
    <t>RuntimeError: Parent directory rtf_checkpoints/checkpoint-61500 does not exist.</t>
  </si>
  <si>
    <t>Timeout</t>
  </si>
  <si>
    <t>RuntimeError: Error(s) in loading state_dict for GPT2LMHeadModel:
	size mismatch for transformer.wte.weight: copying a param with shape torch.Size([506, 768]) from checkpoint, the shape in current model is torch.Size([891, 768]).</t>
  </si>
  <si>
    <t>ValueError: Converged parameters for beta distribution have a near-zero range.</t>
  </si>
  <si>
    <t>RuntimeError: Parent directory rtf_checkpoints/checkpoint-82600 does not exist.</t>
  </si>
  <si>
    <t>ValueError: Converged parameters for beta distribution are outside the min/max range of the data.</t>
  </si>
  <si>
    <t>scipy.stats._warnings_errors.FitError: Optimization converged to parameters that are outside the range allowed by the distribution.</t>
  </si>
  <si>
    <t>NewRowSynthesis</t>
  </si>
  <si>
    <t>Diff quality score GaussianCopula</t>
  </si>
  <si>
    <t>FastMLPreset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</si>
</sst>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sz val="10.0"/>
      <color rgb="FF000000"/>
      <name val="Arial"/>
    </font>
    <font>
      <b/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theme="9"/>
        <bgColor theme="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top" wrapText="1"/>
    </xf>
    <xf borderId="0" fillId="0" fontId="2" numFmtId="0" xfId="0" applyAlignment="1" applyFont="1">
      <alignment shrinkToFit="0" wrapText="1"/>
    </xf>
    <xf borderId="0" fillId="0" fontId="2" numFmtId="0" xfId="0" applyFont="1"/>
    <xf borderId="1" fillId="0" fontId="1" numFmtId="0" xfId="0" applyAlignment="1" applyBorder="1" applyFont="1">
      <alignment horizontal="center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2" numFmtId="11" xfId="0" applyAlignment="1" applyFont="1" applyNumberFormat="1">
      <alignment readingOrder="0"/>
    </xf>
    <xf borderId="1" fillId="0" fontId="4" numFmtId="0" xfId="0" applyAlignment="1" applyBorder="1" applyFont="1">
      <alignment horizontal="center" vertical="top"/>
    </xf>
    <xf borderId="0" fillId="0" fontId="5" numFmtId="0" xfId="0" applyFont="1"/>
    <xf borderId="0" fillId="0" fontId="3" numFmtId="0" xfId="0" applyFont="1"/>
    <xf borderId="0" fillId="2" fontId="6" numFmtId="0" xfId="0" applyAlignment="1" applyFill="1" applyFont="1">
      <alignment shrinkToFit="0" wrapText="1"/>
    </xf>
    <xf borderId="0" fillId="0" fontId="3" numFmtId="0" xfId="0" applyAlignment="1" applyFont="1">
      <alignment horizontal="center" vertical="bottom"/>
    </xf>
    <xf borderId="0" fillId="2" fontId="6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2" fontId="6" numFmtId="0" xfId="0" applyAlignment="1" applyFont="1">
      <alignment horizontal="center" shrinkToFit="0" vertical="bottom" wrapText="1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2" width="18.0"/>
    <col customWidth="1" min="3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13</v>
      </c>
      <c r="B2" s="3">
        <v>5.0</v>
      </c>
      <c r="C2" s="3">
        <v>5.0</v>
      </c>
      <c r="D2" s="3">
        <v>5.0</v>
      </c>
      <c r="E2" s="3">
        <v>5.0</v>
      </c>
      <c r="F2" s="3">
        <v>4.0</v>
      </c>
      <c r="G2" s="3">
        <v>4.0</v>
      </c>
      <c r="H2" s="3">
        <v>5.0</v>
      </c>
      <c r="I2" s="3">
        <v>4.0</v>
      </c>
      <c r="J2" s="3">
        <v>6.0</v>
      </c>
      <c r="K2" s="3">
        <v>5.0</v>
      </c>
      <c r="L2" s="3">
        <v>4.0</v>
      </c>
      <c r="M2" s="3">
        <v>5.0</v>
      </c>
    </row>
    <row r="3">
      <c r="A3" s="3" t="s">
        <v>14</v>
      </c>
      <c r="B3" s="3">
        <v>4.0</v>
      </c>
      <c r="C3" s="3">
        <v>4.0</v>
      </c>
      <c r="D3" s="3">
        <v>4.0</v>
      </c>
      <c r="E3" s="3">
        <v>4.0</v>
      </c>
      <c r="F3" s="3">
        <v>4.0</v>
      </c>
      <c r="G3" s="3">
        <v>4.0</v>
      </c>
      <c r="H3" s="3" t="s">
        <v>15</v>
      </c>
      <c r="I3" s="3" t="s">
        <v>15</v>
      </c>
      <c r="J3" s="3" t="s">
        <v>15</v>
      </c>
      <c r="K3" s="3" t="s">
        <v>15</v>
      </c>
      <c r="L3" s="3" t="s">
        <v>15</v>
      </c>
      <c r="M3" s="3" t="s">
        <v>15</v>
      </c>
    </row>
    <row r="4">
      <c r="A4" s="3" t="s">
        <v>16</v>
      </c>
      <c r="B4" s="3">
        <v>4.0</v>
      </c>
      <c r="C4" s="3">
        <v>4.0</v>
      </c>
      <c r="D4" s="3">
        <v>4.0</v>
      </c>
      <c r="E4" s="3">
        <v>4.0</v>
      </c>
      <c r="F4" s="3">
        <v>4.0</v>
      </c>
      <c r="G4" s="3">
        <v>3.0</v>
      </c>
      <c r="H4" s="3">
        <v>4.0</v>
      </c>
      <c r="I4" s="3">
        <v>4.0</v>
      </c>
      <c r="J4" s="3">
        <v>4.0</v>
      </c>
      <c r="K4" s="3">
        <v>3.0</v>
      </c>
      <c r="L4" s="3">
        <v>4.0</v>
      </c>
      <c r="M4" s="3">
        <v>3.0</v>
      </c>
    </row>
    <row r="5">
      <c r="A5" s="3" t="s">
        <v>17</v>
      </c>
      <c r="B5" s="3">
        <v>5.0</v>
      </c>
      <c r="C5" s="3">
        <v>2.0</v>
      </c>
      <c r="D5" s="3">
        <v>2.0</v>
      </c>
      <c r="E5" s="3">
        <v>2.0</v>
      </c>
      <c r="F5" s="3">
        <v>2.0</v>
      </c>
      <c r="G5" s="3">
        <v>2.0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15</v>
      </c>
      <c r="M5" s="3" t="s">
        <v>15</v>
      </c>
    </row>
    <row r="6">
      <c r="A6" s="3" t="s">
        <v>18</v>
      </c>
      <c r="B6" s="3">
        <v>5.0</v>
      </c>
      <c r="C6" s="3">
        <v>5.0</v>
      </c>
      <c r="D6" s="3">
        <v>5.0</v>
      </c>
      <c r="E6" s="3">
        <v>5.0</v>
      </c>
      <c r="F6" s="3">
        <v>5.0</v>
      </c>
      <c r="G6" s="3">
        <v>5.0</v>
      </c>
      <c r="H6" s="3">
        <v>5.0</v>
      </c>
      <c r="I6" s="3">
        <v>7.0</v>
      </c>
      <c r="J6" s="3">
        <v>5.0</v>
      </c>
      <c r="K6" s="3">
        <v>5.0</v>
      </c>
      <c r="L6" s="3">
        <v>5.0</v>
      </c>
      <c r="M6" s="3">
        <v>5.0</v>
      </c>
    </row>
    <row r="7">
      <c r="A7" s="3" t="s">
        <v>19</v>
      </c>
      <c r="B7" s="3">
        <v>1.0</v>
      </c>
      <c r="C7" s="3">
        <v>1.0</v>
      </c>
      <c r="D7" s="3">
        <v>1.0</v>
      </c>
      <c r="E7" s="3">
        <v>1.0</v>
      </c>
      <c r="F7" s="3">
        <v>1.0</v>
      </c>
      <c r="G7" s="3">
        <v>1.0</v>
      </c>
      <c r="H7" s="3" t="s">
        <v>15</v>
      </c>
      <c r="I7" s="3" t="s">
        <v>15</v>
      </c>
      <c r="J7" s="3" t="s">
        <v>15</v>
      </c>
      <c r="K7" s="3" t="s">
        <v>15</v>
      </c>
      <c r="L7" s="3" t="s">
        <v>15</v>
      </c>
      <c r="M7" s="3" t="s">
        <v>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0"/>
    <col customWidth="1" min="2" max="8" width="8.63"/>
    <col customWidth="1" min="9" max="9" width="15.88"/>
    <col customWidth="1" min="10" max="26" width="8.63"/>
  </cols>
  <sheetData>
    <row r="1">
      <c r="A1" s="4" t="s">
        <v>0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31</v>
      </c>
    </row>
    <row r="2">
      <c r="A2" s="3" t="s">
        <v>13</v>
      </c>
      <c r="B2" s="3" t="s">
        <v>32</v>
      </c>
      <c r="C2" s="3">
        <v>3.907448</v>
      </c>
      <c r="D2" s="3">
        <v>704.597531</v>
      </c>
      <c r="E2" s="3">
        <v>130.098416</v>
      </c>
      <c r="F2" s="3">
        <v>4.563869</v>
      </c>
      <c r="G2" s="3">
        <v>0.941153</v>
      </c>
      <c r="H2" s="3">
        <v>1.618005</v>
      </c>
      <c r="I2" s="3">
        <v>1.0</v>
      </c>
      <c r="J2" s="3">
        <v>0.8577760894750255</v>
      </c>
      <c r="K2" s="3">
        <v>705.624086</v>
      </c>
      <c r="L2" s="3">
        <v>0.8577760894750255</v>
      </c>
      <c r="M2" s="3">
        <v>1.0</v>
      </c>
    </row>
    <row r="3">
      <c r="A3" s="3" t="s">
        <v>14</v>
      </c>
      <c r="B3" s="3" t="s">
        <v>32</v>
      </c>
      <c r="C3" s="3">
        <v>3.907448</v>
      </c>
      <c r="D3" s="3">
        <v>1.946042</v>
      </c>
      <c r="E3" s="3">
        <v>19.169311</v>
      </c>
      <c r="F3" s="3">
        <v>2.157438</v>
      </c>
      <c r="G3" s="3">
        <v>0.052242</v>
      </c>
      <c r="H3" s="3">
        <v>1.621436</v>
      </c>
      <c r="I3" s="3">
        <v>0.7142857142857143</v>
      </c>
      <c r="J3" s="3">
        <v>0.8953553729929504</v>
      </c>
      <c r="K3" s="3">
        <v>2.160778</v>
      </c>
      <c r="L3" s="3">
        <v>0.8953553729929504</v>
      </c>
      <c r="M3" s="3">
        <v>1.0</v>
      </c>
    </row>
    <row r="4">
      <c r="A4" s="3" t="s">
        <v>16</v>
      </c>
      <c r="B4" s="3" t="s">
        <v>32</v>
      </c>
      <c r="C4" s="3">
        <v>3.907448</v>
      </c>
      <c r="D4" s="3">
        <v>729.656014</v>
      </c>
      <c r="E4" s="3">
        <v>130.977309</v>
      </c>
      <c r="F4" s="3">
        <v>4.613253</v>
      </c>
      <c r="G4" s="3">
        <v>1.298457</v>
      </c>
      <c r="H4" s="3">
        <v>1.674254</v>
      </c>
      <c r="I4" s="3">
        <v>1.0</v>
      </c>
      <c r="J4" s="3">
        <v>0.9074426496122204</v>
      </c>
      <c r="K4" s="3">
        <v>731.042372</v>
      </c>
      <c r="L4" s="3">
        <v>0.9074426496122204</v>
      </c>
      <c r="M4" s="3">
        <v>1.0</v>
      </c>
    </row>
    <row r="5">
      <c r="A5" s="3" t="s">
        <v>33</v>
      </c>
      <c r="B5" s="3" t="s">
        <v>32</v>
      </c>
      <c r="C5" s="3">
        <v>3.907448</v>
      </c>
      <c r="D5" s="3">
        <v>14.411164</v>
      </c>
      <c r="E5" s="3">
        <v>41.650231</v>
      </c>
      <c r="F5" s="3">
        <v>0.82382</v>
      </c>
      <c r="G5" s="3">
        <v>0.919336</v>
      </c>
      <c r="H5" s="3">
        <v>1.679476</v>
      </c>
      <c r="I5" s="3">
        <v>1.0</v>
      </c>
      <c r="J5" s="3">
        <v>0.8437299459168182</v>
      </c>
      <c r="K5" s="3">
        <v>15.492994</v>
      </c>
      <c r="L5" s="3">
        <v>0.8437299459168182</v>
      </c>
      <c r="M5" s="3">
        <v>0.0</v>
      </c>
    </row>
    <row r="6">
      <c r="A6" s="3" t="s">
        <v>17</v>
      </c>
      <c r="B6" s="3" t="s">
        <v>32</v>
      </c>
      <c r="C6" s="3">
        <v>3.907448</v>
      </c>
      <c r="D6" s="3">
        <v>3555.643966</v>
      </c>
      <c r="E6" s="3">
        <v>1986.536067</v>
      </c>
      <c r="F6" s="3">
        <v>180.57226</v>
      </c>
      <c r="G6" s="3">
        <v>168.284788</v>
      </c>
      <c r="H6" s="3">
        <v>2.089753</v>
      </c>
      <c r="I6" s="3">
        <v>0.9999723595712664</v>
      </c>
      <c r="J6" s="3">
        <v>0.9384385386317092</v>
      </c>
      <c r="K6" s="3">
        <v>3724.095952</v>
      </c>
      <c r="L6" s="3">
        <v>0.9384385386317092</v>
      </c>
      <c r="M6" s="3">
        <v>1.0</v>
      </c>
    </row>
    <row r="7">
      <c r="A7" s="3" t="s">
        <v>18</v>
      </c>
      <c r="B7" s="3" t="s">
        <v>32</v>
      </c>
      <c r="C7" s="3">
        <v>3.907448</v>
      </c>
      <c r="D7" s="3">
        <v>319.896099</v>
      </c>
      <c r="E7" s="3">
        <v>128.494091</v>
      </c>
      <c r="F7" s="3">
        <v>1.671527</v>
      </c>
      <c r="G7" s="3">
        <v>0.977389</v>
      </c>
      <c r="H7" s="3">
        <v>1.630932</v>
      </c>
      <c r="I7" s="3">
        <v>1.0</v>
      </c>
      <c r="J7" s="3">
        <v>0.8816388096077112</v>
      </c>
      <c r="K7" s="3">
        <v>321.035982</v>
      </c>
      <c r="L7" s="3">
        <v>0.8816388096077112</v>
      </c>
      <c r="M7" s="3">
        <v>1.0</v>
      </c>
    </row>
    <row r="8">
      <c r="A8" s="3" t="s">
        <v>19</v>
      </c>
      <c r="B8" s="3" t="s">
        <v>32</v>
      </c>
      <c r="C8" s="3">
        <v>3.907448</v>
      </c>
      <c r="D8" s="3">
        <v>0.087901</v>
      </c>
      <c r="E8" s="3">
        <v>18.856742</v>
      </c>
      <c r="F8" s="3">
        <v>2.152618</v>
      </c>
      <c r="G8" s="3">
        <v>0.037255</v>
      </c>
      <c r="H8" s="3">
        <v>1.582343</v>
      </c>
      <c r="I8" s="3">
        <v>1.0</v>
      </c>
      <c r="J8" s="3">
        <v>0.4331269350087574</v>
      </c>
      <c r="K8" s="3">
        <v>0.213057</v>
      </c>
      <c r="L8" s="3">
        <v>0.4331269350087574</v>
      </c>
      <c r="M8" s="3">
        <v>0.0</v>
      </c>
    </row>
    <row r="9">
      <c r="A9" s="3" t="s">
        <v>13</v>
      </c>
      <c r="B9" s="3" t="s">
        <v>34</v>
      </c>
      <c r="C9" s="3">
        <v>4.520128</v>
      </c>
      <c r="D9" s="3">
        <v>623.764884</v>
      </c>
      <c r="E9" s="3">
        <v>56.637118</v>
      </c>
      <c r="F9" s="3">
        <v>8.254053</v>
      </c>
      <c r="G9" s="3">
        <v>1.293379</v>
      </c>
      <c r="H9" s="3">
        <v>6.62828</v>
      </c>
      <c r="I9" s="3">
        <v>1.0</v>
      </c>
      <c r="J9" s="3">
        <v>0.9134828453453454</v>
      </c>
      <c r="K9" s="3">
        <v>625.278113</v>
      </c>
      <c r="L9" s="3">
        <v>0.9134828453453454</v>
      </c>
      <c r="M9" s="3">
        <v>0.0</v>
      </c>
    </row>
    <row r="10">
      <c r="A10" s="3" t="s">
        <v>14</v>
      </c>
      <c r="B10" s="3" t="s">
        <v>34</v>
      </c>
      <c r="C10" s="3">
        <v>4.520128</v>
      </c>
      <c r="D10" s="3">
        <v>6.505345</v>
      </c>
      <c r="E10" s="3">
        <v>30.029172</v>
      </c>
      <c r="F10" s="3">
        <v>4.422561</v>
      </c>
      <c r="G10" s="3">
        <v>0.294759</v>
      </c>
      <c r="H10" s="3">
        <v>6.846063999999999</v>
      </c>
      <c r="I10" s="3">
        <v>1.0</v>
      </c>
      <c r="J10" s="3">
        <v>0.977871096096096</v>
      </c>
      <c r="K10" s="3">
        <v>7.001717</v>
      </c>
      <c r="L10" s="3">
        <v>0.977871096096096</v>
      </c>
      <c r="M10" s="3">
        <v>0.0</v>
      </c>
    </row>
    <row r="11">
      <c r="A11" s="3" t="s">
        <v>16</v>
      </c>
      <c r="B11" s="3" t="s">
        <v>34</v>
      </c>
      <c r="C11" s="3">
        <v>4.520128</v>
      </c>
      <c r="D11" s="3">
        <v>645.74473</v>
      </c>
      <c r="E11" s="3">
        <v>61.187825</v>
      </c>
      <c r="F11" s="3">
        <v>8.251261</v>
      </c>
      <c r="G11" s="3">
        <v>1.350991</v>
      </c>
      <c r="H11" s="3">
        <v>6.710104</v>
      </c>
      <c r="I11" s="3">
        <v>1.0</v>
      </c>
      <c r="J11" s="3">
        <v>0.9078362237237236</v>
      </c>
      <c r="K11" s="3">
        <v>647.318126</v>
      </c>
      <c r="L11" s="3">
        <v>0.9078362237237236</v>
      </c>
      <c r="M11" s="3">
        <v>0.0</v>
      </c>
    </row>
    <row r="12">
      <c r="A12" s="3" t="s">
        <v>33</v>
      </c>
      <c r="B12" s="3" t="s">
        <v>34</v>
      </c>
      <c r="C12" s="3">
        <v>4.520128</v>
      </c>
      <c r="D12" s="3">
        <v>28.97741</v>
      </c>
      <c r="E12" s="3">
        <v>62.273361</v>
      </c>
      <c r="F12" s="3">
        <v>1.072378</v>
      </c>
      <c r="G12" s="3">
        <v>1.637146</v>
      </c>
      <c r="H12" s="3">
        <v>6.726589</v>
      </c>
      <c r="I12" s="3">
        <v>1.0</v>
      </c>
      <c r="J12" s="3">
        <v>0.9823706831831832</v>
      </c>
      <c r="K12" s="3">
        <v>30.816169</v>
      </c>
      <c r="L12" s="3">
        <v>0.9823706831831832</v>
      </c>
      <c r="M12" s="3">
        <v>0.0</v>
      </c>
    </row>
    <row r="13">
      <c r="A13" s="3" t="s">
        <v>17</v>
      </c>
      <c r="B13" s="3" t="s">
        <v>34</v>
      </c>
      <c r="C13" s="3">
        <v>4.520128</v>
      </c>
      <c r="D13" s="3">
        <v>1699.513724</v>
      </c>
      <c r="E13" s="3">
        <v>739.353853</v>
      </c>
      <c r="F13" s="3">
        <v>179.969793</v>
      </c>
      <c r="G13" s="3">
        <v>124.189119</v>
      </c>
      <c r="H13" s="3">
        <v>8.370925999999999</v>
      </c>
      <c r="I13" s="3">
        <v>1.0</v>
      </c>
      <c r="J13" s="3">
        <v>0.6617588963963964</v>
      </c>
      <c r="K13" s="3">
        <v>1823.915815</v>
      </c>
      <c r="L13" s="3">
        <v>0.6617588963963964</v>
      </c>
      <c r="M13" s="3">
        <v>0.0</v>
      </c>
    </row>
    <row r="14">
      <c r="A14" s="3" t="s">
        <v>18</v>
      </c>
      <c r="B14" s="3" t="s">
        <v>34</v>
      </c>
      <c r="C14" s="3">
        <v>4.520128</v>
      </c>
      <c r="D14" s="3">
        <v>182.786185</v>
      </c>
      <c r="E14" s="3">
        <v>56.646197</v>
      </c>
      <c r="F14" s="3">
        <v>1.724796</v>
      </c>
      <c r="G14" s="3">
        <v>1.002233</v>
      </c>
      <c r="H14" s="3">
        <v>6.82593</v>
      </c>
      <c r="I14" s="3">
        <v>1.0</v>
      </c>
      <c r="J14" s="3">
        <v>0.9746425675675674</v>
      </c>
      <c r="K14" s="3">
        <v>183.990031</v>
      </c>
      <c r="L14" s="3">
        <v>0.9746425675675674</v>
      </c>
      <c r="M14" s="3">
        <v>0.0</v>
      </c>
    </row>
    <row r="15">
      <c r="A15" s="3" t="s">
        <v>19</v>
      </c>
      <c r="B15" s="3" t="s">
        <v>34</v>
      </c>
      <c r="C15" s="3">
        <v>4.520128</v>
      </c>
      <c r="D15" s="3">
        <v>0.222405</v>
      </c>
      <c r="E15" s="3">
        <v>23.047452</v>
      </c>
      <c r="F15" s="3">
        <v>1.284492</v>
      </c>
      <c r="G15" s="3">
        <v>0.063642</v>
      </c>
      <c r="H15" s="3">
        <v>6.722813</v>
      </c>
      <c r="I15" s="3">
        <v>1.0</v>
      </c>
      <c r="J15" s="3">
        <v>0.5020662162162163</v>
      </c>
      <c r="K15" s="3">
        <v>0.508452</v>
      </c>
      <c r="L15" s="3">
        <v>0.5020662162162163</v>
      </c>
      <c r="M15" s="3">
        <v>0.0</v>
      </c>
    </row>
    <row r="16">
      <c r="A16" s="3" t="s">
        <v>13</v>
      </c>
      <c r="B16" s="3" t="s">
        <v>35</v>
      </c>
      <c r="C16" s="3">
        <v>98.165608</v>
      </c>
      <c r="D16" s="3">
        <v>10560.390919</v>
      </c>
      <c r="E16" s="3">
        <v>3571.901894</v>
      </c>
      <c r="F16" s="3">
        <v>74.351909</v>
      </c>
      <c r="G16" s="3">
        <v>19.85788</v>
      </c>
      <c r="H16" s="3">
        <v>36.25427</v>
      </c>
      <c r="I16" s="3">
        <v>1.0</v>
      </c>
      <c r="J16" s="3">
        <v>0.8941872888605691</v>
      </c>
      <c r="K16" s="3">
        <v>10581.29337</v>
      </c>
      <c r="L16" s="3">
        <v>0.8941872888605691</v>
      </c>
      <c r="M16" s="3">
        <v>1.0</v>
      </c>
    </row>
    <row r="17">
      <c r="A17" s="3" t="s">
        <v>14</v>
      </c>
      <c r="B17" s="3" t="s">
        <v>35</v>
      </c>
      <c r="C17" s="3">
        <v>98.165608</v>
      </c>
      <c r="D17" s="3">
        <v>16.047624</v>
      </c>
      <c r="E17" s="3">
        <v>469.535787</v>
      </c>
      <c r="F17" s="3">
        <v>64.99506</v>
      </c>
      <c r="G17" s="3">
        <v>0.980563</v>
      </c>
      <c r="H17" s="3">
        <v>37.235309</v>
      </c>
      <c r="I17" s="3">
        <v>0.7735849056603774</v>
      </c>
      <c r="J17" s="3">
        <v>0.8923248511512226</v>
      </c>
      <c r="K17" s="3">
        <v>18.103481</v>
      </c>
      <c r="L17" s="3">
        <v>0.8923248511512226</v>
      </c>
      <c r="M17" s="3">
        <v>1.0</v>
      </c>
    </row>
    <row r="18">
      <c r="A18" s="3" t="s">
        <v>16</v>
      </c>
      <c r="B18" s="3" t="s">
        <v>35</v>
      </c>
      <c r="C18" s="3">
        <v>98.165608</v>
      </c>
      <c r="D18" s="3">
        <v>10828.600518</v>
      </c>
      <c r="E18" s="3">
        <v>3619.910882</v>
      </c>
      <c r="F18" s="3">
        <v>74.452198</v>
      </c>
      <c r="G18" s="3">
        <v>25.459256</v>
      </c>
      <c r="H18" s="3">
        <v>36.549312</v>
      </c>
      <c r="I18" s="3">
        <v>1.0</v>
      </c>
      <c r="J18" s="3">
        <v>0.9007590154597396</v>
      </c>
      <c r="K18" s="3">
        <v>10855.126256</v>
      </c>
      <c r="L18" s="3">
        <v>0.9007590154597396</v>
      </c>
      <c r="M18" s="3">
        <v>1.0</v>
      </c>
    </row>
    <row r="19">
      <c r="A19" s="3" t="s">
        <v>33</v>
      </c>
      <c r="B19" s="3" t="s">
        <v>35</v>
      </c>
      <c r="C19" s="3">
        <v>98.165608</v>
      </c>
      <c r="D19" s="3">
        <v>329.024986</v>
      </c>
      <c r="E19" s="3">
        <v>1010.125166</v>
      </c>
      <c r="F19" s="3">
        <v>1.156458</v>
      </c>
      <c r="G19" s="3">
        <v>22.612019</v>
      </c>
      <c r="H19" s="3">
        <v>35.688068</v>
      </c>
      <c r="I19" s="3">
        <v>1.0</v>
      </c>
      <c r="J19" s="3">
        <v>0.8838548672760392</v>
      </c>
      <c r="K19" s="3">
        <v>352.712299</v>
      </c>
      <c r="L19" s="3">
        <v>0.8838548672760392</v>
      </c>
      <c r="M19" s="3">
        <v>0.0</v>
      </c>
    </row>
    <row r="20">
      <c r="A20" s="3" t="s">
        <v>17</v>
      </c>
      <c r="B20" s="3" t="s">
        <v>35</v>
      </c>
      <c r="C20" s="3">
        <v>98.165608</v>
      </c>
      <c r="D20" s="3">
        <v>31999.829101</v>
      </c>
      <c r="E20" s="3">
        <v>7685.101411</v>
      </c>
      <c r="F20" s="3">
        <v>181.749984</v>
      </c>
      <c r="G20" s="3">
        <v>3002.544124</v>
      </c>
      <c r="H20" s="3">
        <v>81.047454</v>
      </c>
      <c r="I20" s="3">
        <v>0.9999991850495712</v>
      </c>
      <c r="J20" s="3">
        <v>0.9666898886327124</v>
      </c>
      <c r="K20" s="3">
        <v>35003.438167</v>
      </c>
      <c r="L20" s="3">
        <v>0.9666898886327124</v>
      </c>
      <c r="M20" s="3">
        <v>1.0</v>
      </c>
    </row>
    <row r="21" ht="15.75" customHeight="1">
      <c r="A21" s="3" t="s">
        <v>18</v>
      </c>
      <c r="B21" s="3" t="s">
        <v>35</v>
      </c>
      <c r="C21" s="3">
        <v>98.165608</v>
      </c>
      <c r="D21" s="3">
        <v>4354.104226</v>
      </c>
      <c r="E21" s="3">
        <v>3571.910447</v>
      </c>
      <c r="F21" s="3">
        <v>6.214222</v>
      </c>
      <c r="G21" s="3">
        <v>14.114262</v>
      </c>
      <c r="H21" s="3">
        <v>37.101627</v>
      </c>
      <c r="I21" s="3">
        <v>1.0</v>
      </c>
      <c r="J21" s="3">
        <v>0.9265051276918465</v>
      </c>
      <c r="K21" s="3">
        <v>4369.293782000001</v>
      </c>
      <c r="L21" s="3">
        <v>0.9265051276918465</v>
      </c>
      <c r="M21" s="3">
        <v>1.0</v>
      </c>
    </row>
    <row r="22" ht="15.75" customHeight="1">
      <c r="A22" s="3" t="s">
        <v>19</v>
      </c>
      <c r="B22" s="3" t="s">
        <v>35</v>
      </c>
      <c r="C22" s="3">
        <v>98.165608</v>
      </c>
      <c r="D22" s="3">
        <v>1.066482</v>
      </c>
      <c r="E22" s="3">
        <v>469.463053</v>
      </c>
      <c r="F22" s="3">
        <v>64.985172</v>
      </c>
      <c r="G22" s="3">
        <v>0.875623</v>
      </c>
      <c r="H22" s="3">
        <v>35.839438</v>
      </c>
      <c r="I22" s="3">
        <v>1.0</v>
      </c>
      <c r="J22" s="3">
        <v>0.3419097316264814</v>
      </c>
      <c r="K22" s="3">
        <v>3.008587</v>
      </c>
      <c r="L22" s="3">
        <v>0.3419097316264814</v>
      </c>
      <c r="M22" s="3">
        <v>0.0</v>
      </c>
    </row>
    <row r="23" ht="15.75" customHeight="1">
      <c r="A23" s="3" t="s">
        <v>13</v>
      </c>
      <c r="B23" s="3" t="s">
        <v>36</v>
      </c>
      <c r="C23" s="3">
        <v>3.200128</v>
      </c>
      <c r="D23" s="3">
        <v>464.182321</v>
      </c>
      <c r="E23" s="3">
        <v>33.471203</v>
      </c>
      <c r="F23" s="3">
        <v>5.016454</v>
      </c>
      <c r="G23" s="3">
        <v>0.677836</v>
      </c>
      <c r="H23" s="3">
        <v>2.352625</v>
      </c>
      <c r="I23" s="3">
        <v>1.0</v>
      </c>
      <c r="J23" s="3">
        <v>0.9294831542899712</v>
      </c>
      <c r="K23" s="3">
        <v>464.983669</v>
      </c>
      <c r="L23" s="3">
        <v>0.9294831542899712</v>
      </c>
      <c r="M23" s="3">
        <v>0.0</v>
      </c>
    </row>
    <row r="24" ht="15.75" customHeight="1">
      <c r="A24" s="3" t="s">
        <v>14</v>
      </c>
      <c r="B24" s="3" t="s">
        <v>36</v>
      </c>
      <c r="C24" s="3">
        <v>3.200128</v>
      </c>
      <c r="D24" s="3">
        <v>0.130645</v>
      </c>
      <c r="E24" s="3">
        <v>16.582105</v>
      </c>
      <c r="F24" s="3">
        <v>0.8614</v>
      </c>
      <c r="G24" s="3">
        <v>0.031778</v>
      </c>
      <c r="H24" s="3">
        <v>2.321008</v>
      </c>
      <c r="I24" s="3">
        <v>1.0</v>
      </c>
      <c r="J24" s="3">
        <v>0.9616851232953456</v>
      </c>
      <c r="K24" s="3">
        <v>0.274715</v>
      </c>
      <c r="L24" s="3">
        <v>0.9616851232953456</v>
      </c>
      <c r="M24" s="3">
        <v>0.0</v>
      </c>
    </row>
    <row r="25" ht="15.75" customHeight="1">
      <c r="A25" s="3" t="s">
        <v>16</v>
      </c>
      <c r="B25" s="3" t="s">
        <v>36</v>
      </c>
      <c r="C25" s="3">
        <v>3.200128</v>
      </c>
      <c r="D25" s="3">
        <v>472.87614</v>
      </c>
      <c r="E25" s="3">
        <v>36.681495</v>
      </c>
      <c r="F25" s="3">
        <v>5.013187</v>
      </c>
      <c r="G25" s="3">
        <v>0.691856</v>
      </c>
      <c r="H25" s="3">
        <v>2.333659</v>
      </c>
      <c r="I25" s="3">
        <v>1.0</v>
      </c>
      <c r="J25" s="3">
        <v>0.9136067341621704</v>
      </c>
      <c r="K25" s="3">
        <v>473.694463</v>
      </c>
      <c r="L25" s="3">
        <v>0.9136067341621704</v>
      </c>
      <c r="M25" s="3">
        <v>0.0</v>
      </c>
    </row>
    <row r="26" ht="15.75" customHeight="1">
      <c r="A26" s="3" t="s">
        <v>33</v>
      </c>
      <c r="B26" s="3" t="s">
        <v>36</v>
      </c>
      <c r="C26" s="3">
        <v>3.200128</v>
      </c>
      <c r="D26" s="3">
        <v>14.685225</v>
      </c>
      <c r="E26" s="3">
        <v>34.134362</v>
      </c>
      <c r="F26" s="3">
        <v>0.872432</v>
      </c>
      <c r="G26" s="3">
        <v>0.818492</v>
      </c>
      <c r="H26" s="3">
        <v>2.314186</v>
      </c>
      <c r="I26" s="3">
        <v>1.0</v>
      </c>
      <c r="J26" s="3">
        <v>0.9672384890746114</v>
      </c>
      <c r="K26" s="3">
        <v>15.616009</v>
      </c>
      <c r="L26" s="3">
        <v>0.9672384890746114</v>
      </c>
      <c r="M26" s="3">
        <v>0.0</v>
      </c>
    </row>
    <row r="27" ht="15.75" customHeight="1">
      <c r="A27" s="3" t="s">
        <v>17</v>
      </c>
      <c r="B27" s="3" t="s">
        <v>36</v>
      </c>
      <c r="C27" s="3">
        <v>3.200128</v>
      </c>
      <c r="D27" s="3">
        <v>1504.342084</v>
      </c>
      <c r="E27" s="3">
        <v>728.797855</v>
      </c>
      <c r="F27" s="3">
        <v>179.828036</v>
      </c>
      <c r="G27" s="3">
        <v>66.758413</v>
      </c>
      <c r="H27" s="3">
        <v>2.931557</v>
      </c>
      <c r="I27" s="3">
        <v>1.0</v>
      </c>
      <c r="J27" s="3">
        <v>0.9551435479293198</v>
      </c>
      <c r="K27" s="3">
        <v>1571.228928</v>
      </c>
      <c r="L27" s="3">
        <v>0.9551435479293198</v>
      </c>
      <c r="M27" s="3">
        <v>0.0</v>
      </c>
    </row>
    <row r="28" ht="15.75" customHeight="1">
      <c r="A28" s="3" t="s">
        <v>18</v>
      </c>
      <c r="B28" s="3" t="s">
        <v>36</v>
      </c>
      <c r="C28" s="3">
        <v>3.200128</v>
      </c>
      <c r="D28" s="3">
        <v>143.111873</v>
      </c>
      <c r="E28" s="3">
        <v>33.456939</v>
      </c>
      <c r="F28" s="3">
        <v>1.423612</v>
      </c>
      <c r="G28" s="3">
        <v>0.470657</v>
      </c>
      <c r="H28" s="3">
        <v>2.333607</v>
      </c>
      <c r="I28" s="3">
        <v>1.0</v>
      </c>
      <c r="J28" s="3">
        <v>0.961178251256022</v>
      </c>
      <c r="K28" s="3">
        <v>143.694822</v>
      </c>
      <c r="L28" s="3">
        <v>0.961178251256022</v>
      </c>
      <c r="M28" s="3">
        <v>0.0</v>
      </c>
    </row>
    <row r="29" ht="15.75" customHeight="1">
      <c r="A29" s="3" t="s">
        <v>19</v>
      </c>
      <c r="B29" s="3" t="s">
        <v>36</v>
      </c>
      <c r="C29" s="3">
        <v>3.200128</v>
      </c>
      <c r="D29" s="3">
        <v>0.126467</v>
      </c>
      <c r="E29" s="3">
        <v>16.581206</v>
      </c>
      <c r="F29" s="3">
        <v>0.861376</v>
      </c>
      <c r="G29" s="3">
        <v>0.0414</v>
      </c>
      <c r="H29" s="3">
        <v>2.388815</v>
      </c>
      <c r="I29" s="3">
        <v>1.0</v>
      </c>
      <c r="J29" s="3">
        <v>0.6802285193228326</v>
      </c>
      <c r="K29" s="3">
        <v>0.294334</v>
      </c>
      <c r="L29" s="3">
        <v>0.6802285193228326</v>
      </c>
      <c r="M29" s="3">
        <v>0.0</v>
      </c>
    </row>
    <row r="30" ht="15.75" customHeight="1">
      <c r="A30" s="3" t="s">
        <v>13</v>
      </c>
      <c r="B30" s="3" t="s">
        <v>37</v>
      </c>
      <c r="C30" s="3">
        <v>255.645408</v>
      </c>
      <c r="D30" s="3">
        <v>24629.104346</v>
      </c>
      <c r="E30" s="3">
        <v>3484.229383</v>
      </c>
      <c r="F30" s="3">
        <v>8.060125</v>
      </c>
      <c r="G30" s="3">
        <v>45.030046</v>
      </c>
      <c r="H30" s="3">
        <v>68.47338599999999</v>
      </c>
      <c r="I30" s="3">
        <v>1.0</v>
      </c>
      <c r="J30" s="3">
        <v>0.9406264125540066</v>
      </c>
      <c r="K30" s="3">
        <v>24674.914744</v>
      </c>
      <c r="L30" s="3">
        <v>0.9406264125540066</v>
      </c>
      <c r="M30" s="3">
        <v>1.0</v>
      </c>
    </row>
    <row r="31" ht="15.75" customHeight="1">
      <c r="A31" s="3" t="s">
        <v>14</v>
      </c>
      <c r="B31" s="3" t="s">
        <v>37</v>
      </c>
      <c r="C31" s="3">
        <v>255.645408</v>
      </c>
      <c r="D31" s="3">
        <v>66.84269</v>
      </c>
      <c r="E31" s="3">
        <v>1287.935825</v>
      </c>
      <c r="F31" s="3">
        <v>255.674887</v>
      </c>
      <c r="G31" s="3">
        <v>1.926479</v>
      </c>
      <c r="H31" s="3">
        <v>3434.513088</v>
      </c>
      <c r="I31" s="3">
        <v>0.4926822353223185</v>
      </c>
      <c r="J31" s="3">
        <v>0.712766292751957</v>
      </c>
      <c r="K31" s="3">
        <v>69.540121</v>
      </c>
      <c r="L31" s="3">
        <v>0.712766292751957</v>
      </c>
      <c r="M31" s="3">
        <v>1.0</v>
      </c>
    </row>
    <row r="32" ht="15.75" customHeight="1">
      <c r="A32" s="3" t="s">
        <v>16</v>
      </c>
      <c r="B32" s="3" t="s">
        <v>37</v>
      </c>
      <c r="C32" s="3">
        <v>255.645408</v>
      </c>
      <c r="D32" s="3">
        <v>25570.071389</v>
      </c>
      <c r="E32" s="3">
        <v>3740.366501</v>
      </c>
      <c r="F32" s="3">
        <v>8.651668</v>
      </c>
      <c r="G32" s="3">
        <v>122.661006</v>
      </c>
      <c r="H32" s="3">
        <v>54.08403000000001</v>
      </c>
      <c r="I32" s="3">
        <v>1.0</v>
      </c>
      <c r="J32" s="3">
        <v>0.6758605353122011</v>
      </c>
      <c r="K32" s="3">
        <v>25693.504325</v>
      </c>
      <c r="L32" s="3">
        <v>0.6758605353122011</v>
      </c>
      <c r="M32" s="3">
        <v>1.0</v>
      </c>
    </row>
    <row r="33" ht="15.75" customHeight="1">
      <c r="A33" s="3" t="s">
        <v>33</v>
      </c>
      <c r="B33" s="3" t="s">
        <v>37</v>
      </c>
      <c r="C33" s="3">
        <v>255.645408</v>
      </c>
      <c r="D33" s="3">
        <v>352.380323</v>
      </c>
      <c r="E33" s="3">
        <v>2626.631259</v>
      </c>
      <c r="F33" s="3">
        <v>1.293223</v>
      </c>
      <c r="G33" s="3">
        <v>65.487235</v>
      </c>
      <c r="H33" s="3">
        <v>54.295982</v>
      </c>
      <c r="I33" s="3">
        <v>1.0</v>
      </c>
      <c r="J33" s="3">
        <v>0.5950057232911119</v>
      </c>
      <c r="K33" s="3">
        <v>418.63851</v>
      </c>
      <c r="L33" s="3">
        <v>0.5950057232911119</v>
      </c>
      <c r="M33" s="3">
        <v>0.0</v>
      </c>
    </row>
    <row r="34" ht="15.75" customHeight="1">
      <c r="A34" s="3" t="s">
        <v>17</v>
      </c>
      <c r="B34" s="3" t="s">
        <v>37</v>
      </c>
      <c r="C34" s="3">
        <v>255.645408</v>
      </c>
      <c r="D34" s="3">
        <v>324256.80642</v>
      </c>
      <c r="E34" s="3">
        <v>16920.458643</v>
      </c>
      <c r="F34" s="3">
        <v>181.893473</v>
      </c>
      <c r="G34" s="3">
        <v>8533.09369</v>
      </c>
      <c r="H34" s="3">
        <v>89.240005</v>
      </c>
      <c r="I34" s="3">
        <v>0.999999092492535</v>
      </c>
      <c r="J34" s="3">
        <v>0.9967736248172512</v>
      </c>
      <c r="K34" s="3">
        <v>332790.686201</v>
      </c>
      <c r="L34" s="3">
        <v>0.9967736248172512</v>
      </c>
      <c r="M34" s="3">
        <v>1.0</v>
      </c>
    </row>
    <row r="35" ht="15.75" customHeight="1">
      <c r="A35" s="3" t="s">
        <v>18</v>
      </c>
      <c r="B35" s="3" t="s">
        <v>37</v>
      </c>
      <c r="C35" s="3">
        <v>255.645408</v>
      </c>
      <c r="D35" s="3">
        <v>18664.160325</v>
      </c>
      <c r="E35" s="3">
        <v>3484.083561</v>
      </c>
      <c r="F35" s="3">
        <v>10.874603</v>
      </c>
      <c r="G35" s="3">
        <v>31.851228</v>
      </c>
      <c r="H35" s="3">
        <v>66.22122300000001</v>
      </c>
      <c r="I35" s="3">
        <v>1.0</v>
      </c>
      <c r="J35" s="3">
        <v>0.9317904610757108</v>
      </c>
      <c r="K35" s="3">
        <v>18696.782505</v>
      </c>
      <c r="L35" s="3">
        <v>0.9317904610757108</v>
      </c>
      <c r="M35" s="3">
        <v>1.0</v>
      </c>
    </row>
    <row r="36" ht="15.75" customHeight="1">
      <c r="A36" s="3" t="s">
        <v>19</v>
      </c>
      <c r="B36" s="3" t="s">
        <v>37</v>
      </c>
      <c r="C36" s="3">
        <v>255.645408</v>
      </c>
      <c r="D36" s="3">
        <v>0.77193</v>
      </c>
      <c r="E36" s="3">
        <v>1287.762474</v>
      </c>
      <c r="F36" s="3">
        <v>255.648525</v>
      </c>
      <c r="G36" s="3">
        <v>0.528404</v>
      </c>
      <c r="H36" s="3">
        <v>77.613736</v>
      </c>
      <c r="I36" s="3">
        <v>1.0</v>
      </c>
      <c r="J36" s="3">
        <v>0.752157431002149</v>
      </c>
      <c r="K36" s="3">
        <v>2.072264</v>
      </c>
      <c r="L36" s="3">
        <v>0.752157431002149</v>
      </c>
      <c r="M36" s="3">
        <v>1.0</v>
      </c>
    </row>
    <row r="37" ht="15.75" customHeight="1">
      <c r="A37" s="3" t="s">
        <v>13</v>
      </c>
      <c r="B37" s="3" t="s">
        <v>38</v>
      </c>
      <c r="C37" s="3">
        <v>0.200128</v>
      </c>
      <c r="D37" s="3">
        <v>35.285013</v>
      </c>
      <c r="E37" s="3">
        <v>18.436881</v>
      </c>
      <c r="F37" s="3">
        <v>5.988091</v>
      </c>
      <c r="G37" s="3">
        <v>1.222283</v>
      </c>
      <c r="H37" s="3">
        <v>1.199701</v>
      </c>
      <c r="I37" s="3">
        <v>1.0</v>
      </c>
      <c r="J37" s="3">
        <v>0.7248854410702684</v>
      </c>
      <c r="K37" s="3">
        <v>36.712129</v>
      </c>
      <c r="L37" s="3">
        <v>0.7248854410702684</v>
      </c>
      <c r="M37" s="3">
        <v>0.0</v>
      </c>
    </row>
    <row r="38" ht="15.75" customHeight="1">
      <c r="A38" s="3" t="s">
        <v>14</v>
      </c>
      <c r="B38" s="3" t="s">
        <v>38</v>
      </c>
      <c r="C38" s="3">
        <v>0.200128</v>
      </c>
      <c r="D38" s="3">
        <v>0.580784</v>
      </c>
      <c r="E38" s="3">
        <v>1.194373</v>
      </c>
      <c r="F38" s="3">
        <v>0.247482</v>
      </c>
      <c r="G38" s="3">
        <v>0.045465</v>
      </c>
      <c r="H38" s="3">
        <v>1.843526</v>
      </c>
      <c r="I38" s="3">
        <v>0.2790755555555555</v>
      </c>
      <c r="J38" s="3">
        <v>0.2505124766370303</v>
      </c>
      <c r="K38" s="3">
        <v>0.8125519999999999</v>
      </c>
      <c r="L38" s="3">
        <v>0.2505124766370303</v>
      </c>
      <c r="M38" s="3">
        <v>0.0</v>
      </c>
    </row>
    <row r="39" ht="15.75" customHeight="1">
      <c r="A39" s="3" t="s">
        <v>16</v>
      </c>
      <c r="B39" s="3" t="s">
        <v>38</v>
      </c>
      <c r="C39" s="3">
        <v>0.200128</v>
      </c>
      <c r="D39" s="3">
        <v>37.380843</v>
      </c>
      <c r="E39" s="3">
        <v>18.674835</v>
      </c>
      <c r="F39" s="3">
        <v>6.055926</v>
      </c>
      <c r="G39" s="3">
        <v>1.299858</v>
      </c>
      <c r="H39" s="3">
        <v>1.204066</v>
      </c>
      <c r="I39" s="3">
        <v>1.0</v>
      </c>
      <c r="J39" s="3">
        <v>0.7002561156456788</v>
      </c>
      <c r="K39" s="3">
        <v>38.882061</v>
      </c>
      <c r="L39" s="3">
        <v>0.7002561156456788</v>
      </c>
      <c r="M39" s="3">
        <v>0.0</v>
      </c>
    </row>
    <row r="40" ht="15.75" customHeight="1">
      <c r="A40" s="3" t="s">
        <v>33</v>
      </c>
      <c r="B40" s="3" t="s">
        <v>38</v>
      </c>
      <c r="C40" s="3">
        <v>0.200128</v>
      </c>
      <c r="D40" s="3">
        <v>4.710409</v>
      </c>
      <c r="E40" s="3">
        <v>7.029176</v>
      </c>
      <c r="F40" s="3">
        <v>0.973168</v>
      </c>
      <c r="G40" s="3">
        <v>1.168924</v>
      </c>
      <c r="H40" s="3">
        <v>1.200796</v>
      </c>
      <c r="I40" s="3">
        <v>1.0</v>
      </c>
      <c r="J40" s="3">
        <v>0.7692935499906738</v>
      </c>
      <c r="K40" s="3">
        <v>6.065636</v>
      </c>
      <c r="L40" s="3">
        <v>0.7692935499906738</v>
      </c>
      <c r="M40" s="3">
        <v>0.0</v>
      </c>
    </row>
    <row r="41" ht="15.75" customHeight="1">
      <c r="A41" s="3" t="s">
        <v>17</v>
      </c>
      <c r="B41" s="3" t="s">
        <v>38</v>
      </c>
      <c r="C41" s="3">
        <v>0.200128</v>
      </c>
      <c r="D41" s="3">
        <v>40933.715491</v>
      </c>
      <c r="E41" s="3">
        <v>392.760376</v>
      </c>
      <c r="F41" s="3">
        <v>188.200182</v>
      </c>
      <c r="G41" s="3">
        <v>10.399615</v>
      </c>
      <c r="H41" s="3">
        <v>1.25611</v>
      </c>
      <c r="I41" s="3">
        <v>0.981</v>
      </c>
      <c r="J41" s="3">
        <v>0.6996693027727215</v>
      </c>
      <c r="K41" s="3">
        <v>40944.30024</v>
      </c>
      <c r="L41" s="3">
        <v>0.6996693027727215</v>
      </c>
      <c r="M41" s="3">
        <v>0.0</v>
      </c>
    </row>
    <row r="42" ht="15.75" customHeight="1">
      <c r="A42" s="3" t="s">
        <v>18</v>
      </c>
      <c r="B42" s="3" t="s">
        <v>38</v>
      </c>
      <c r="C42" s="3">
        <v>0.200128</v>
      </c>
      <c r="D42" s="3">
        <v>19.095676</v>
      </c>
      <c r="E42" s="3">
        <v>16.659726</v>
      </c>
      <c r="F42" s="3">
        <v>1.662246</v>
      </c>
      <c r="G42" s="3">
        <v>1.200181</v>
      </c>
      <c r="H42" s="3">
        <v>1.262999</v>
      </c>
      <c r="I42" s="3">
        <v>1.0</v>
      </c>
      <c r="J42" s="3">
        <v>0.6663068513548381</v>
      </c>
      <c r="K42" s="3">
        <v>20.48216</v>
      </c>
      <c r="L42" s="3">
        <v>0.6663068513548381</v>
      </c>
      <c r="M42" s="3">
        <v>0.0</v>
      </c>
    </row>
    <row r="43" ht="15.75" customHeight="1">
      <c r="A43" s="3" t="s">
        <v>19</v>
      </c>
      <c r="B43" s="3" t="s">
        <v>38</v>
      </c>
      <c r="C43" s="3">
        <v>0.200128</v>
      </c>
      <c r="D43" s="3">
        <v>0.20136</v>
      </c>
      <c r="E43" s="3">
        <v>1.089868</v>
      </c>
      <c r="F43" s="3">
        <v>0.233587</v>
      </c>
      <c r="G43" s="3">
        <v>0.025784</v>
      </c>
      <c r="H43" s="3">
        <v>1.369488</v>
      </c>
      <c r="I43" s="3">
        <v>0.8351</v>
      </c>
      <c r="J43" s="3">
        <v>0.3103761849905235</v>
      </c>
      <c r="K43" s="3">
        <v>0.428504</v>
      </c>
      <c r="L43" s="3">
        <v>0.3103761849905235</v>
      </c>
      <c r="M43" s="3">
        <v>0.0</v>
      </c>
    </row>
    <row r="44" ht="15.75" customHeight="1">
      <c r="A44" s="3" t="s">
        <v>13</v>
      </c>
      <c r="B44" s="3" t="s">
        <v>39</v>
      </c>
      <c r="C44" s="3">
        <v>3.340128</v>
      </c>
      <c r="D44" s="3">
        <v>522.908062</v>
      </c>
      <c r="E44" s="3">
        <v>47.585402</v>
      </c>
      <c r="F44" s="3">
        <v>6.401751</v>
      </c>
      <c r="G44" s="3">
        <v>0.971225</v>
      </c>
      <c r="H44" s="3">
        <v>3.683821</v>
      </c>
      <c r="I44" s="3">
        <v>1.0</v>
      </c>
      <c r="J44" s="3">
        <v>0.8865684914760065</v>
      </c>
      <c r="K44" s="3">
        <v>524.031899</v>
      </c>
      <c r="L44" s="3">
        <v>0.8865684914760065</v>
      </c>
      <c r="M44" s="3">
        <v>0.0</v>
      </c>
    </row>
    <row r="45" ht="15.75" customHeight="1">
      <c r="A45" s="3" t="s">
        <v>14</v>
      </c>
      <c r="B45" s="3" t="s">
        <v>39</v>
      </c>
      <c r="C45" s="3">
        <v>3.340128</v>
      </c>
      <c r="D45" s="3">
        <v>4.289795</v>
      </c>
      <c r="E45" s="3">
        <v>21.928478</v>
      </c>
      <c r="F45" s="3">
        <v>3.324989</v>
      </c>
      <c r="G45" s="3">
        <v>0.182404</v>
      </c>
      <c r="H45" s="3">
        <v>3.788237</v>
      </c>
      <c r="I45" s="3">
        <v>1.0</v>
      </c>
      <c r="J45" s="3">
        <v>0.9642405382440624</v>
      </c>
      <c r="K45" s="3">
        <v>4.611605</v>
      </c>
      <c r="L45" s="3">
        <v>0.9642405382440624</v>
      </c>
      <c r="M45" s="3">
        <v>0.0</v>
      </c>
    </row>
    <row r="46" ht="15.75" customHeight="1">
      <c r="A46" s="3" t="s">
        <v>16</v>
      </c>
      <c r="B46" s="3" t="s">
        <v>39</v>
      </c>
      <c r="C46" s="3">
        <v>3.340128</v>
      </c>
      <c r="D46" s="3">
        <v>543.37163</v>
      </c>
      <c r="E46" s="3">
        <v>50.937832</v>
      </c>
      <c r="F46" s="3">
        <v>6.398679</v>
      </c>
      <c r="G46" s="3">
        <v>1.003079</v>
      </c>
      <c r="H46" s="3">
        <v>3.842256</v>
      </c>
      <c r="I46" s="3">
        <v>1.0</v>
      </c>
      <c r="J46" s="3">
        <v>0.9095415462443608</v>
      </c>
      <c r="K46" s="3">
        <v>544.541348</v>
      </c>
      <c r="L46" s="3">
        <v>0.9095415462443608</v>
      </c>
      <c r="M46" s="3">
        <v>0.0</v>
      </c>
    </row>
    <row r="47" ht="15.75" customHeight="1">
      <c r="A47" s="3" t="s">
        <v>33</v>
      </c>
      <c r="B47" s="3" t="s">
        <v>39</v>
      </c>
      <c r="C47" s="3">
        <v>3.340128</v>
      </c>
      <c r="D47" s="3">
        <v>21.264916</v>
      </c>
      <c r="E47" s="3">
        <v>45.711185</v>
      </c>
      <c r="F47" s="3">
        <v>0.953867</v>
      </c>
      <c r="G47" s="3">
        <v>1.103584</v>
      </c>
      <c r="H47" s="3">
        <v>3.748303</v>
      </c>
      <c r="I47" s="3">
        <v>1.0</v>
      </c>
      <c r="J47" s="3">
        <v>0.9706317984770574</v>
      </c>
      <c r="K47" s="3">
        <v>22.507906</v>
      </c>
      <c r="L47" s="3">
        <v>0.9706317984770574</v>
      </c>
      <c r="M47" s="3">
        <v>0.0</v>
      </c>
    </row>
    <row r="48" ht="15.75" customHeight="1">
      <c r="A48" s="3" t="s">
        <v>17</v>
      </c>
      <c r="B48" s="3" t="s">
        <v>39</v>
      </c>
      <c r="C48" s="3">
        <v>3.340128</v>
      </c>
      <c r="D48" s="3">
        <v>2108.21589</v>
      </c>
      <c r="E48" s="3">
        <v>731.576563</v>
      </c>
      <c r="F48" s="3">
        <v>179.917425</v>
      </c>
      <c r="G48" s="3">
        <v>92.707971</v>
      </c>
      <c r="H48" s="3">
        <v>4.701249</v>
      </c>
      <c r="I48" s="3">
        <v>1.0</v>
      </c>
      <c r="J48" s="3">
        <v>0.7559905891321699</v>
      </c>
      <c r="K48" s="3">
        <v>2201.065724</v>
      </c>
      <c r="L48" s="3">
        <v>0.7559905891321699</v>
      </c>
      <c r="M48" s="3">
        <v>0.0</v>
      </c>
    </row>
    <row r="49" ht="15.75" customHeight="1">
      <c r="A49" s="3" t="s">
        <v>18</v>
      </c>
      <c r="B49" s="3" t="s">
        <v>39</v>
      </c>
      <c r="C49" s="3">
        <v>3.340128</v>
      </c>
      <c r="D49" s="3">
        <v>156.564102</v>
      </c>
      <c r="E49" s="3">
        <v>47.569994</v>
      </c>
      <c r="F49" s="3">
        <v>1.551793</v>
      </c>
      <c r="G49" s="3">
        <v>0.736811</v>
      </c>
      <c r="H49" s="3">
        <v>3.754638</v>
      </c>
      <c r="I49" s="3">
        <v>1.0</v>
      </c>
      <c r="J49" s="3">
        <v>0.92727538163669</v>
      </c>
      <c r="K49" s="3">
        <v>157.440319</v>
      </c>
      <c r="L49" s="3">
        <v>0.92727538163669</v>
      </c>
      <c r="M49" s="3">
        <v>0.0</v>
      </c>
    </row>
    <row r="50" ht="15.75" customHeight="1">
      <c r="A50" s="3" t="s">
        <v>19</v>
      </c>
      <c r="B50" s="3" t="s">
        <v>39</v>
      </c>
      <c r="C50" s="3">
        <v>3.340128</v>
      </c>
      <c r="D50" s="3">
        <v>0.166639</v>
      </c>
      <c r="E50" s="3">
        <v>17.17726</v>
      </c>
      <c r="F50" s="3">
        <v>1.148018</v>
      </c>
      <c r="G50" s="3">
        <v>0.049457</v>
      </c>
      <c r="H50" s="3">
        <v>3.944736</v>
      </c>
      <c r="I50" s="3">
        <v>1.0</v>
      </c>
      <c r="J50" s="3">
        <v>0.6066473009399702</v>
      </c>
      <c r="K50" s="3">
        <v>0.382735</v>
      </c>
      <c r="L50" s="3">
        <v>0.6066473009399702</v>
      </c>
      <c r="M50" s="3">
        <v>0.0</v>
      </c>
    </row>
    <row r="51" ht="15.75" customHeight="1">
      <c r="A51" s="3" t="s">
        <v>13</v>
      </c>
      <c r="B51" s="3" t="s">
        <v>40</v>
      </c>
      <c r="C51" s="3">
        <v>162.039016</v>
      </c>
      <c r="D51" s="3">
        <v>17355.372542</v>
      </c>
      <c r="E51" s="3">
        <v>2658.080557</v>
      </c>
      <c r="F51" s="3">
        <v>18.954976</v>
      </c>
      <c r="G51" s="3">
        <v>42.484706</v>
      </c>
      <c r="H51" s="3">
        <v>30.998685</v>
      </c>
      <c r="I51" s="3">
        <v>1.0</v>
      </c>
      <c r="J51" s="3">
        <v>0.778081586935231</v>
      </c>
      <c r="K51" s="3">
        <v>17398.51403</v>
      </c>
      <c r="L51" s="3">
        <v>0.778081586935231</v>
      </c>
      <c r="M51" s="3">
        <v>1.0</v>
      </c>
    </row>
    <row r="52" ht="15.75" customHeight="1">
      <c r="A52" s="3" t="s">
        <v>14</v>
      </c>
      <c r="B52" s="3" t="s">
        <v>40</v>
      </c>
      <c r="C52" s="3">
        <v>162.039016</v>
      </c>
      <c r="D52" s="3">
        <v>42.126676</v>
      </c>
      <c r="E52" s="3">
        <v>790.744867</v>
      </c>
      <c r="F52" s="3">
        <v>150.211632</v>
      </c>
      <c r="G52" s="3">
        <v>1.199232</v>
      </c>
      <c r="H52" s="3">
        <v>48.096407</v>
      </c>
      <c r="I52" s="3">
        <v>0.5256410256410257</v>
      </c>
      <c r="J52" s="3">
        <v>0.7562855704961668</v>
      </c>
      <c r="K52" s="3">
        <v>43.98202200000001</v>
      </c>
      <c r="L52" s="3">
        <v>0.7562855704961668</v>
      </c>
      <c r="M52" s="3">
        <v>1.0</v>
      </c>
    </row>
    <row r="53" ht="15.75" customHeight="1">
      <c r="A53" s="3" t="s">
        <v>16</v>
      </c>
      <c r="B53" s="3" t="s">
        <v>40</v>
      </c>
      <c r="C53" s="3">
        <v>162.039016</v>
      </c>
      <c r="D53" s="3">
        <v>18148.682961</v>
      </c>
      <c r="E53" s="3">
        <v>2962.744032</v>
      </c>
      <c r="F53" s="3">
        <v>19.394042</v>
      </c>
      <c r="G53" s="3">
        <v>75.724212</v>
      </c>
      <c r="H53" s="3">
        <v>31.847769</v>
      </c>
      <c r="I53" s="3">
        <v>1.0</v>
      </c>
      <c r="J53" s="3">
        <v>0.6127454935505348</v>
      </c>
      <c r="K53" s="3">
        <v>18225.091177</v>
      </c>
      <c r="L53" s="3">
        <v>0.6127454935505348</v>
      </c>
      <c r="M53" s="3">
        <v>0.0</v>
      </c>
    </row>
    <row r="54" ht="15.75" customHeight="1">
      <c r="A54" s="3" t="s">
        <v>33</v>
      </c>
      <c r="B54" s="3" t="s">
        <v>40</v>
      </c>
      <c r="C54" s="3">
        <v>162.039016</v>
      </c>
      <c r="D54" s="3">
        <v>254.891177</v>
      </c>
      <c r="E54" s="3">
        <v>1666.312516</v>
      </c>
      <c r="F54" s="3">
        <v>1.131791</v>
      </c>
      <c r="G54" s="3">
        <v>33.606259</v>
      </c>
      <c r="H54" s="3">
        <v>29.759524</v>
      </c>
      <c r="I54" s="3">
        <v>1.0</v>
      </c>
      <c r="J54" s="3">
        <v>0.6896202603436965</v>
      </c>
      <c r="K54" s="3">
        <v>289.15355</v>
      </c>
      <c r="L54" s="3">
        <v>0.6896202603436965</v>
      </c>
      <c r="M54" s="3">
        <v>0.0</v>
      </c>
    </row>
    <row r="55" ht="15.75" customHeight="1">
      <c r="A55" s="3" t="s">
        <v>17</v>
      </c>
      <c r="B55" s="3" t="s">
        <v>40</v>
      </c>
      <c r="C55" s="3">
        <v>162.039016</v>
      </c>
      <c r="D55" s="3">
        <v>92658.398517</v>
      </c>
      <c r="E55" s="3">
        <v>12317.039252</v>
      </c>
      <c r="F55" s="3">
        <v>181.453233</v>
      </c>
      <c r="G55" s="3">
        <v>6517.6762</v>
      </c>
      <c r="H55" s="3">
        <v>56.907911</v>
      </c>
      <c r="I55" s="3">
        <v>0.9999987410429524</v>
      </c>
      <c r="J55" s="3">
        <v>0.984847988477721</v>
      </c>
      <c r="K55" s="3">
        <v>99176.740026</v>
      </c>
      <c r="L55" s="3">
        <v>0.984847988477721</v>
      </c>
      <c r="M55" s="3">
        <v>1.0</v>
      </c>
    </row>
    <row r="56" ht="15.75" customHeight="1">
      <c r="A56" s="3" t="s">
        <v>18</v>
      </c>
      <c r="B56" s="3" t="s">
        <v>40</v>
      </c>
      <c r="C56" s="3">
        <v>162.039016</v>
      </c>
      <c r="D56" s="3">
        <v>11696.00324</v>
      </c>
      <c r="E56" s="3">
        <v>2658.084523</v>
      </c>
      <c r="F56" s="3">
        <v>9.169467</v>
      </c>
      <c r="G56" s="3">
        <v>33.836869</v>
      </c>
      <c r="H56" s="3">
        <v>34.877709</v>
      </c>
      <c r="I56" s="3">
        <v>1.0</v>
      </c>
      <c r="J56" s="3">
        <v>0.8617149585298867</v>
      </c>
      <c r="K56" s="3">
        <v>11730.496223</v>
      </c>
      <c r="L56" s="3">
        <v>0.8617149585298867</v>
      </c>
      <c r="M56" s="3">
        <v>1.0</v>
      </c>
    </row>
    <row r="57" ht="15.75" customHeight="1">
      <c r="A57" s="3" t="s">
        <v>19</v>
      </c>
      <c r="B57" s="3" t="s">
        <v>40</v>
      </c>
      <c r="C57" s="3">
        <v>162.039016</v>
      </c>
      <c r="D57" s="3">
        <v>0.684004</v>
      </c>
      <c r="E57" s="3">
        <v>790.620818</v>
      </c>
      <c r="F57" s="3">
        <v>150.190578</v>
      </c>
      <c r="G57" s="3">
        <v>0.473746</v>
      </c>
      <c r="H57" s="3">
        <v>41.905272</v>
      </c>
      <c r="I57" s="3">
        <v>1.0</v>
      </c>
      <c r="J57" s="3">
        <v>0.6034721893195323</v>
      </c>
      <c r="K57" s="3">
        <v>1.841754</v>
      </c>
      <c r="L57" s="3">
        <v>0.6034721893195323</v>
      </c>
      <c r="M57" s="3">
        <v>0.0</v>
      </c>
    </row>
    <row r="58" ht="15.75" customHeight="1">
      <c r="A58" s="3" t="s">
        <v>13</v>
      </c>
      <c r="B58" s="3" t="s">
        <v>41</v>
      </c>
      <c r="C58" s="3">
        <v>18.712096</v>
      </c>
      <c r="D58" s="3">
        <v>1547.847995</v>
      </c>
      <c r="E58" s="3">
        <v>273.010766</v>
      </c>
      <c r="F58" s="3">
        <v>3.621213</v>
      </c>
      <c r="G58" s="3">
        <v>3.359754</v>
      </c>
      <c r="H58" s="3">
        <v>9.850599</v>
      </c>
      <c r="I58" s="3">
        <v>1.0</v>
      </c>
      <c r="J58" s="3">
        <v>0.9628245662706048</v>
      </c>
      <c r="K58" s="3">
        <v>1551.477058</v>
      </c>
      <c r="L58" s="3">
        <v>0.9628245662706048</v>
      </c>
      <c r="M58" s="3">
        <v>1.0</v>
      </c>
    </row>
    <row r="59" ht="15.75" customHeight="1">
      <c r="A59" s="3" t="s">
        <v>14</v>
      </c>
      <c r="B59" s="3" t="s">
        <v>41</v>
      </c>
      <c r="C59" s="3">
        <v>18.712096</v>
      </c>
      <c r="D59" s="3">
        <v>16.729565</v>
      </c>
      <c r="E59" s="3">
        <v>94.648198</v>
      </c>
      <c r="F59" s="3">
        <v>18.751985</v>
      </c>
      <c r="G59" s="3">
        <v>0.231182</v>
      </c>
      <c r="H59" s="3">
        <v>12.541813</v>
      </c>
      <c r="I59" s="3">
        <v>0.5</v>
      </c>
      <c r="J59" s="3">
        <v>0.8085862814311742</v>
      </c>
      <c r="K59" s="3">
        <v>17.215299</v>
      </c>
      <c r="L59" s="3">
        <v>0.8085862814311742</v>
      </c>
      <c r="M59" s="3">
        <v>0.0</v>
      </c>
    </row>
    <row r="60" ht="15.75" customHeight="1">
      <c r="A60" s="3" t="s">
        <v>16</v>
      </c>
      <c r="B60" s="3" t="s">
        <v>41</v>
      </c>
      <c r="C60" s="3">
        <v>18.712096</v>
      </c>
      <c r="D60" s="3">
        <v>1753.91347</v>
      </c>
      <c r="E60" s="3">
        <v>321.766168</v>
      </c>
      <c r="F60" s="3">
        <v>4.345315</v>
      </c>
      <c r="G60" s="3">
        <v>7.767426</v>
      </c>
      <c r="H60" s="3">
        <v>10.231377</v>
      </c>
      <c r="I60" s="3">
        <v>1.0</v>
      </c>
      <c r="J60" s="3">
        <v>0.9189818831687028</v>
      </c>
      <c r="K60" s="3">
        <v>1761.968697</v>
      </c>
      <c r="L60" s="3">
        <v>0.9189818831687028</v>
      </c>
      <c r="M60" s="3">
        <v>1.0</v>
      </c>
    </row>
    <row r="61" ht="15.75" customHeight="1">
      <c r="A61" s="3" t="s">
        <v>33</v>
      </c>
      <c r="B61" s="3" t="s">
        <v>41</v>
      </c>
      <c r="C61" s="3">
        <v>18.712096</v>
      </c>
      <c r="D61" s="3">
        <v>40.828828</v>
      </c>
      <c r="E61" s="3">
        <v>193.789705</v>
      </c>
      <c r="F61" s="3">
        <v>1.343162</v>
      </c>
      <c r="G61" s="3">
        <v>4.338654</v>
      </c>
      <c r="H61" s="3">
        <v>9.412492</v>
      </c>
      <c r="I61" s="3">
        <v>1.0</v>
      </c>
      <c r="J61" s="3">
        <v>0.868981651600652</v>
      </c>
      <c r="K61" s="3">
        <v>45.422034</v>
      </c>
      <c r="L61" s="3">
        <v>0.868981651600652</v>
      </c>
      <c r="M61" s="3">
        <v>0.0</v>
      </c>
    </row>
    <row r="62" ht="15.75" customHeight="1">
      <c r="A62" s="3" t="s">
        <v>17</v>
      </c>
      <c r="B62" s="3" t="s">
        <v>41</v>
      </c>
      <c r="C62" s="3">
        <v>18.712096</v>
      </c>
      <c r="D62" s="3">
        <v>14853.384549</v>
      </c>
      <c r="E62" s="3">
        <v>2791.628637</v>
      </c>
      <c r="F62" s="3">
        <v>182.415724</v>
      </c>
      <c r="G62" s="3">
        <v>1123.940869</v>
      </c>
      <c r="H62" s="3">
        <v>12.457924</v>
      </c>
      <c r="I62" s="3">
        <v>0.9999955108944178</v>
      </c>
      <c r="J62" s="3">
        <v>0.987810962492824</v>
      </c>
      <c r="K62" s="3">
        <v>15977.585069</v>
      </c>
      <c r="L62" s="3">
        <v>0.987810962492824</v>
      </c>
      <c r="M62" s="3">
        <v>1.0</v>
      </c>
    </row>
    <row r="63" ht="15.75" customHeight="1">
      <c r="A63" s="3" t="s">
        <v>18</v>
      </c>
      <c r="B63" s="3" t="s">
        <v>41</v>
      </c>
      <c r="C63" s="3">
        <v>18.712096</v>
      </c>
      <c r="D63" s="3">
        <v>1445.819966</v>
      </c>
      <c r="E63" s="3">
        <v>273.05065</v>
      </c>
      <c r="F63" s="3">
        <v>3.239942</v>
      </c>
      <c r="G63" s="3">
        <v>2.420179</v>
      </c>
      <c r="H63" s="3">
        <v>8.980141000000001</v>
      </c>
      <c r="I63" s="3">
        <v>1.0</v>
      </c>
      <c r="J63" s="3">
        <v>0.9367330919056912</v>
      </c>
      <c r="K63" s="3">
        <v>1448.494697</v>
      </c>
      <c r="L63" s="3">
        <v>0.9367330919056912</v>
      </c>
      <c r="M63" s="3">
        <v>1.0</v>
      </c>
    </row>
    <row r="64" ht="15.75" customHeight="1">
      <c r="A64" s="3" t="s">
        <v>19</v>
      </c>
      <c r="B64" s="3" t="s">
        <v>41</v>
      </c>
      <c r="C64" s="3">
        <v>18.712096</v>
      </c>
      <c r="D64" s="3">
        <v>0.287801</v>
      </c>
      <c r="E64" s="3">
        <v>94.462576</v>
      </c>
      <c r="F64" s="3">
        <v>18.715619</v>
      </c>
      <c r="G64" s="3">
        <v>0.080729</v>
      </c>
      <c r="H64" s="3">
        <v>11.543579</v>
      </c>
      <c r="I64" s="3">
        <v>1.0</v>
      </c>
      <c r="J64" s="3">
        <v>0.7407030387938498</v>
      </c>
      <c r="K64" s="3">
        <v>0.656331</v>
      </c>
      <c r="L64" s="3">
        <v>0.7407030387938498</v>
      </c>
      <c r="M64" s="3">
        <v>0.0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7" width="8.63"/>
  </cols>
  <sheetData>
    <row r="1">
      <c r="A1" s="4" t="s">
        <v>0</v>
      </c>
      <c r="B1" s="4" t="s">
        <v>42</v>
      </c>
      <c r="C1" s="4" t="s">
        <v>28</v>
      </c>
      <c r="D1" s="4" t="s">
        <v>43</v>
      </c>
      <c r="E1" s="4" t="s">
        <v>44</v>
      </c>
      <c r="F1" s="4" t="s">
        <v>45</v>
      </c>
      <c r="G1" s="4" t="s">
        <v>46</v>
      </c>
    </row>
    <row r="2">
      <c r="A2" s="3" t="s">
        <v>47</v>
      </c>
      <c r="B2" s="3">
        <v>9.406018</v>
      </c>
      <c r="C2" s="3">
        <v>0.5522986163578125</v>
      </c>
      <c r="D2" s="3">
        <v>0.9734058055065091</v>
      </c>
      <c r="E2" s="3" t="b">
        <v>1</v>
      </c>
      <c r="F2" s="3" t="s">
        <v>48</v>
      </c>
      <c r="G2" s="3" t="s">
        <v>49</v>
      </c>
    </row>
    <row r="3">
      <c r="A3" s="3" t="s">
        <v>50</v>
      </c>
      <c r="B3" s="3">
        <v>163.70229</v>
      </c>
      <c r="C3" s="3">
        <v>0.802180844788445</v>
      </c>
      <c r="D3" s="3">
        <v>2.214054754716812</v>
      </c>
      <c r="E3" s="3" t="b">
        <v>1</v>
      </c>
      <c r="F3" s="3" t="s">
        <v>48</v>
      </c>
      <c r="G3" s="3" t="s">
        <v>51</v>
      </c>
    </row>
    <row r="4">
      <c r="A4" s="3" t="s">
        <v>52</v>
      </c>
      <c r="B4" s="3">
        <v>1196.425107</v>
      </c>
      <c r="C4" s="3">
        <v>0.8411918854615382</v>
      </c>
      <c r="D4" s="3">
        <v>3.077885518131554</v>
      </c>
      <c r="E4" s="3" t="b">
        <v>1</v>
      </c>
      <c r="F4" s="3" t="s">
        <v>48</v>
      </c>
      <c r="G4" s="3" t="s">
        <v>53</v>
      </c>
    </row>
    <row r="5">
      <c r="A5" s="3" t="s">
        <v>54</v>
      </c>
      <c r="B5" s="3">
        <v>37071.710521</v>
      </c>
      <c r="C5" s="3">
        <v>0.8964206111806627</v>
      </c>
      <c r="D5" s="3">
        <v>4.569042625217395</v>
      </c>
      <c r="E5" s="3" t="b">
        <v>1</v>
      </c>
      <c r="F5" s="3" t="s">
        <v>48</v>
      </c>
      <c r="G5" s="3" t="s">
        <v>55</v>
      </c>
    </row>
    <row r="6">
      <c r="A6" s="3" t="s">
        <v>56</v>
      </c>
      <c r="B6" s="3">
        <v>56562.82909799999</v>
      </c>
      <c r="C6" s="3">
        <v>0.8764350973641143</v>
      </c>
      <c r="D6" s="3">
        <v>4.75253112340063</v>
      </c>
      <c r="E6" s="3" t="b">
        <v>0</v>
      </c>
      <c r="F6" s="3" t="s">
        <v>57</v>
      </c>
      <c r="G6" s="3" t="s">
        <v>58</v>
      </c>
    </row>
    <row r="7">
      <c r="A7" s="3" t="s">
        <v>59</v>
      </c>
      <c r="B7" s="3">
        <v>58971.16882499999</v>
      </c>
      <c r="C7" s="3">
        <v>0.8274477996532591</v>
      </c>
      <c r="D7" s="3">
        <v>4.770639735700771</v>
      </c>
      <c r="E7" s="3" t="b">
        <v>0</v>
      </c>
      <c r="F7" s="3" t="s">
        <v>57</v>
      </c>
      <c r="G7" s="3" t="s">
        <v>60</v>
      </c>
    </row>
    <row r="8">
      <c r="A8" s="3" t="s">
        <v>61</v>
      </c>
      <c r="B8" s="3">
        <v>533213.056122</v>
      </c>
      <c r="C8" s="3">
        <v>0.8830137043647583</v>
      </c>
      <c r="D8" s="3">
        <v>5.72690077489846</v>
      </c>
      <c r="E8" s="3" t="b">
        <v>0</v>
      </c>
      <c r="F8" s="3" t="s">
        <v>57</v>
      </c>
      <c r="G8" s="3" t="s">
        <v>62</v>
      </c>
    </row>
    <row r="9">
      <c r="B9" s="5">
        <v>5.289393</v>
      </c>
      <c r="C9" s="5">
        <v>0.501945</v>
      </c>
      <c r="D9" s="5">
        <v>0.723406</v>
      </c>
      <c r="E9" s="5" t="b">
        <v>1</v>
      </c>
    </row>
    <row r="10">
      <c r="A10" s="6"/>
      <c r="B10" s="7">
        <v>948201.798827</v>
      </c>
      <c r="C10" s="7">
        <v>0.948564</v>
      </c>
      <c r="D10" s="7">
        <v>5.976901</v>
      </c>
      <c r="E10" s="8" t="b">
        <v>1</v>
      </c>
      <c r="F10" s="9"/>
      <c r="G10" s="9"/>
    </row>
    <row r="13">
      <c r="B13" s="9"/>
      <c r="C13" s="10"/>
      <c r="D13" s="10"/>
      <c r="E13" s="10"/>
      <c r="F13" s="8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B14" s="9"/>
      <c r="C14" s="10"/>
      <c r="D14" s="10"/>
      <c r="E14" s="8"/>
      <c r="F14" s="8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6">
      <c r="B16" s="11"/>
    </row>
    <row r="17">
      <c r="C17" s="1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3" width="16.25"/>
    <col customWidth="1" min="4" max="4" width="11.88"/>
    <col customWidth="1" min="5" max="26" width="8.63"/>
  </cols>
  <sheetData>
    <row r="1">
      <c r="A1" s="4" t="s">
        <v>0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63</v>
      </c>
      <c r="N1" s="4" t="s">
        <v>31</v>
      </c>
    </row>
    <row r="2">
      <c r="A2" s="3" t="s">
        <v>13</v>
      </c>
      <c r="B2" s="3" t="s">
        <v>32</v>
      </c>
      <c r="C2" s="3">
        <v>3.907448</v>
      </c>
      <c r="D2" s="3">
        <v>1100.954522</v>
      </c>
      <c r="E2" s="3">
        <v>128.435612</v>
      </c>
      <c r="F2" s="3">
        <v>3.998295</v>
      </c>
      <c r="G2" s="3">
        <v>1.023675</v>
      </c>
      <c r="H2" s="3">
        <v>1.612767</v>
      </c>
      <c r="I2" s="3">
        <v>1.0</v>
      </c>
      <c r="J2" s="3">
        <v>0.8509292340467711</v>
      </c>
      <c r="K2" s="3">
        <v>1102.062936</v>
      </c>
      <c r="L2" s="3">
        <v>0.8509292340467711</v>
      </c>
      <c r="N2" s="3">
        <v>1.0</v>
      </c>
    </row>
    <row r="3">
      <c r="A3" s="3" t="s">
        <v>14</v>
      </c>
      <c r="B3" s="3" t="s">
        <v>32</v>
      </c>
      <c r="C3" s="3">
        <v>3.907448</v>
      </c>
      <c r="D3" s="3">
        <v>1.581583</v>
      </c>
      <c r="E3" s="3">
        <v>19.145319</v>
      </c>
      <c r="F3" s="3">
        <v>2.157324</v>
      </c>
      <c r="G3" s="3">
        <v>0.048667</v>
      </c>
      <c r="H3" s="3">
        <v>1.669678</v>
      </c>
      <c r="I3" s="3">
        <v>0.7142857142857143</v>
      </c>
      <c r="J3" s="3">
        <v>0.8944571399232281</v>
      </c>
      <c r="K3" s="3">
        <v>1.729865</v>
      </c>
      <c r="L3" s="3">
        <v>0.8944571399232281</v>
      </c>
      <c r="N3" s="3">
        <v>1.0</v>
      </c>
    </row>
    <row r="4">
      <c r="A4" s="3" t="s">
        <v>16</v>
      </c>
      <c r="B4" s="3" t="s">
        <v>32</v>
      </c>
      <c r="C4" s="3">
        <v>3.907448</v>
      </c>
      <c r="D4" s="3">
        <v>1181.93156</v>
      </c>
      <c r="E4" s="3">
        <v>129.336924</v>
      </c>
      <c r="F4" s="3">
        <v>4.051763</v>
      </c>
      <c r="G4" s="3">
        <v>1.459647</v>
      </c>
      <c r="H4" s="3">
        <v>1.723678</v>
      </c>
      <c r="I4" s="3">
        <v>1.0</v>
      </c>
      <c r="J4" s="3">
        <v>0.9016755044783572</v>
      </c>
      <c r="K4" s="3">
        <v>1183.479976</v>
      </c>
      <c r="L4" s="3">
        <v>0.9016755044783572</v>
      </c>
      <c r="N4" s="3">
        <v>1.0</v>
      </c>
    </row>
    <row r="5">
      <c r="A5" s="3" t="s">
        <v>33</v>
      </c>
      <c r="B5" s="3" t="s">
        <v>32</v>
      </c>
      <c r="C5" s="3">
        <v>3.907448</v>
      </c>
      <c r="D5" s="3">
        <v>14.050938</v>
      </c>
      <c r="E5" s="3">
        <v>40.830562</v>
      </c>
      <c r="F5" s="3">
        <v>0.260213</v>
      </c>
      <c r="G5" s="3">
        <v>0.949246</v>
      </c>
      <c r="H5" s="3">
        <v>1.658495</v>
      </c>
      <c r="I5" s="3">
        <v>1.0</v>
      </c>
      <c r="J5" s="3">
        <v>0.8437299459168182</v>
      </c>
      <c r="K5" s="3">
        <v>15.099799</v>
      </c>
      <c r="L5" s="3">
        <v>0.8437299459168182</v>
      </c>
      <c r="N5" s="3">
        <v>0.0</v>
      </c>
    </row>
    <row r="6">
      <c r="A6" s="3" t="s">
        <v>17</v>
      </c>
      <c r="B6" s="3" t="s">
        <v>32</v>
      </c>
      <c r="C6" s="3">
        <v>3.907448</v>
      </c>
      <c r="D6" s="3">
        <v>17430.595685</v>
      </c>
      <c r="E6" s="3">
        <v>1995.965236</v>
      </c>
      <c r="F6" s="3">
        <v>180.572057</v>
      </c>
      <c r="G6" s="3">
        <v>374.92212</v>
      </c>
      <c r="H6" s="3">
        <v>2.009011</v>
      </c>
      <c r="I6" s="3">
        <v>0.99997747816918</v>
      </c>
      <c r="J6" s="3">
        <v>0.934890489257593</v>
      </c>
      <c r="K6" s="3">
        <v>17805.617157</v>
      </c>
      <c r="L6" s="3">
        <v>0.934890489257593</v>
      </c>
      <c r="N6" s="3">
        <v>1.0</v>
      </c>
    </row>
    <row r="7">
      <c r="A7" s="3" t="s">
        <v>18</v>
      </c>
      <c r="B7" s="3" t="s">
        <v>32</v>
      </c>
      <c r="C7" s="3">
        <v>3.907448</v>
      </c>
      <c r="D7" s="3">
        <v>500.588229</v>
      </c>
      <c r="E7" s="3">
        <v>128.808898</v>
      </c>
      <c r="F7" s="3">
        <v>1.108868</v>
      </c>
      <c r="G7" s="3">
        <v>0.691039</v>
      </c>
      <c r="H7" s="3">
        <v>1.697169</v>
      </c>
      <c r="I7" s="3">
        <v>1.0</v>
      </c>
      <c r="J7" s="3">
        <v>0.8571167683812109</v>
      </c>
      <c r="K7" s="3">
        <v>501.378883</v>
      </c>
      <c r="L7" s="3">
        <v>0.8571167683812109</v>
      </c>
      <c r="N7" s="3">
        <v>1.0</v>
      </c>
    </row>
    <row r="8">
      <c r="A8" s="3" t="s">
        <v>19</v>
      </c>
      <c r="B8" s="3" t="s">
        <v>32</v>
      </c>
      <c r="C8" s="3">
        <v>3.907448</v>
      </c>
      <c r="D8" s="3">
        <v>0.088769</v>
      </c>
      <c r="E8" s="3">
        <v>18.854642</v>
      </c>
      <c r="F8" s="3">
        <v>2.152501</v>
      </c>
      <c r="G8" s="3">
        <v>0.038012</v>
      </c>
      <c r="H8" s="3">
        <v>1.646549</v>
      </c>
      <c r="I8" s="3">
        <v>1.0</v>
      </c>
      <c r="J8" s="3">
        <v>0.4341753834259519</v>
      </c>
      <c r="K8" s="3">
        <v>0.21555</v>
      </c>
      <c r="L8" s="3">
        <v>0.4341753834259519</v>
      </c>
      <c r="N8" s="3">
        <v>0.0</v>
      </c>
    </row>
    <row r="9">
      <c r="A9" s="3" t="s">
        <v>13</v>
      </c>
      <c r="B9" s="3" t="s">
        <v>34</v>
      </c>
      <c r="C9" s="3">
        <v>4.520128</v>
      </c>
      <c r="D9" s="3">
        <v>702.920471</v>
      </c>
      <c r="E9" s="3">
        <v>55.861287</v>
      </c>
      <c r="F9" s="3">
        <v>7.689067</v>
      </c>
      <c r="G9" s="3">
        <v>1.180096</v>
      </c>
      <c r="H9" s="3">
        <v>6.560342</v>
      </c>
      <c r="I9" s="3">
        <v>1.0</v>
      </c>
      <c r="J9" s="3">
        <v>0.9162930555555556</v>
      </c>
      <c r="K9" s="3">
        <v>704.282768</v>
      </c>
      <c r="L9" s="3">
        <v>0.9162930555555556</v>
      </c>
      <c r="N9" s="3">
        <v>0.0</v>
      </c>
    </row>
    <row r="10">
      <c r="A10" s="3" t="s">
        <v>14</v>
      </c>
      <c r="B10" s="3" t="s">
        <v>34</v>
      </c>
      <c r="C10" s="3">
        <v>4.520128</v>
      </c>
      <c r="D10" s="3">
        <v>5.581552</v>
      </c>
      <c r="E10" s="3">
        <v>30.007328</v>
      </c>
      <c r="F10" s="3">
        <v>4.423057</v>
      </c>
      <c r="G10" s="3">
        <v>0.276389</v>
      </c>
      <c r="H10" s="3">
        <v>6.989388</v>
      </c>
      <c r="I10" s="3">
        <v>1.0</v>
      </c>
      <c r="J10" s="3">
        <v>0.9784489114114114</v>
      </c>
      <c r="K10" s="3">
        <v>6.051494</v>
      </c>
      <c r="L10" s="3">
        <v>0.9784489114114114</v>
      </c>
      <c r="N10" s="3">
        <v>0.0</v>
      </c>
    </row>
    <row r="11">
      <c r="A11" s="3" t="s">
        <v>16</v>
      </c>
      <c r="B11" s="3" t="s">
        <v>34</v>
      </c>
      <c r="C11" s="3">
        <v>4.520128</v>
      </c>
      <c r="D11" s="3">
        <v>870.037722</v>
      </c>
      <c r="E11" s="3">
        <v>60.394371</v>
      </c>
      <c r="F11" s="3">
        <v>7.690154</v>
      </c>
      <c r="G11" s="3">
        <v>1.468125</v>
      </c>
      <c r="H11" s="3">
        <v>6.966695</v>
      </c>
      <c r="I11" s="3">
        <v>1.0</v>
      </c>
      <c r="J11" s="3">
        <v>0.913103078078078</v>
      </c>
      <c r="K11" s="3">
        <v>871.70056</v>
      </c>
      <c r="L11" s="3">
        <v>0.913103078078078</v>
      </c>
      <c r="N11" s="3">
        <v>0.0</v>
      </c>
    </row>
    <row r="12">
      <c r="A12" s="3" t="s">
        <v>33</v>
      </c>
      <c r="B12" s="3" t="s">
        <v>34</v>
      </c>
      <c r="C12" s="3">
        <v>4.520128</v>
      </c>
      <c r="D12" s="3">
        <v>27.394571</v>
      </c>
      <c r="E12" s="3">
        <v>61.445676</v>
      </c>
      <c r="F12" s="3">
        <v>0.509345</v>
      </c>
      <c r="G12" s="3">
        <v>1.626384</v>
      </c>
      <c r="H12" s="3">
        <v>6.92123</v>
      </c>
      <c r="I12" s="3">
        <v>1.0</v>
      </c>
      <c r="J12" s="3">
        <v>0.9823706831831832</v>
      </c>
      <c r="K12" s="3">
        <v>29.214508</v>
      </c>
      <c r="L12" s="3">
        <v>0.9823706831831832</v>
      </c>
      <c r="N12" s="3">
        <v>0.0</v>
      </c>
    </row>
    <row r="13">
      <c r="A13" s="3" t="s">
        <v>17</v>
      </c>
      <c r="B13" s="3" t="s">
        <v>34</v>
      </c>
      <c r="C13" s="3">
        <v>4.520128</v>
      </c>
      <c r="D13" s="3">
        <v>8882.343022</v>
      </c>
      <c r="E13" s="3">
        <v>739.537188</v>
      </c>
      <c r="F13" s="3">
        <v>179.965374</v>
      </c>
      <c r="G13" s="3">
        <v>278.353593</v>
      </c>
      <c r="H13" s="3">
        <v>8.311698</v>
      </c>
      <c r="I13" s="3">
        <v>1.0</v>
      </c>
      <c r="J13" s="3">
        <v>0.650246509009009</v>
      </c>
      <c r="K13" s="3">
        <v>9160.884048999998</v>
      </c>
      <c r="L13" s="3">
        <v>0.650246509009009</v>
      </c>
      <c r="N13" s="3">
        <v>0.0</v>
      </c>
    </row>
    <row r="14">
      <c r="A14" s="3" t="s">
        <v>18</v>
      </c>
      <c r="B14" s="3" t="s">
        <v>34</v>
      </c>
      <c r="C14" s="3">
        <v>4.520128</v>
      </c>
      <c r="D14" s="3">
        <v>248.896025</v>
      </c>
      <c r="E14" s="3">
        <v>55.838692</v>
      </c>
      <c r="F14" s="3">
        <v>1.162337</v>
      </c>
      <c r="G14" s="3">
        <v>1.044422</v>
      </c>
      <c r="H14" s="3">
        <v>6.984317</v>
      </c>
      <c r="I14" s="3">
        <v>1.0</v>
      </c>
      <c r="J14" s="3">
        <v>0.9743907282282284</v>
      </c>
      <c r="K14" s="3">
        <v>250.134</v>
      </c>
      <c r="L14" s="3">
        <v>0.9743907282282284</v>
      </c>
      <c r="N14" s="3">
        <v>0.0</v>
      </c>
    </row>
    <row r="15">
      <c r="A15" s="3" t="s">
        <v>19</v>
      </c>
      <c r="B15" s="3" t="s">
        <v>34</v>
      </c>
      <c r="C15" s="3">
        <v>4.520128</v>
      </c>
      <c r="D15" s="3">
        <v>0.194713</v>
      </c>
      <c r="E15" s="3">
        <v>23.047857</v>
      </c>
      <c r="F15" s="3">
        <v>1.284369</v>
      </c>
      <c r="G15" s="3">
        <v>0.066469</v>
      </c>
      <c r="H15" s="3">
        <v>6.813515</v>
      </c>
      <c r="I15" s="3">
        <v>1.0</v>
      </c>
      <c r="J15" s="3">
        <v>0.5017760885885887</v>
      </c>
      <c r="K15" s="3">
        <v>0.455895</v>
      </c>
      <c r="L15" s="3">
        <v>0.5017760885885887</v>
      </c>
      <c r="N15" s="3">
        <v>0.0</v>
      </c>
    </row>
    <row r="16">
      <c r="A16" s="3" t="s">
        <v>13</v>
      </c>
      <c r="B16" s="3" t="s">
        <v>35</v>
      </c>
      <c r="C16" s="3">
        <v>98.165608</v>
      </c>
      <c r="D16" s="3">
        <v>33233.873644</v>
      </c>
      <c r="E16" s="3">
        <v>3571.099239</v>
      </c>
      <c r="F16" s="3">
        <v>73.792343</v>
      </c>
      <c r="G16" s="3">
        <v>24.197655</v>
      </c>
      <c r="H16" s="3">
        <v>36.786697</v>
      </c>
      <c r="I16" s="3">
        <v>1.0</v>
      </c>
      <c r="J16" s="3">
        <v>0.886241454310689</v>
      </c>
      <c r="K16" s="3">
        <v>33259.074777</v>
      </c>
      <c r="L16" s="3">
        <v>0.886241454310689</v>
      </c>
      <c r="N16" s="3">
        <v>1.0</v>
      </c>
    </row>
    <row r="17">
      <c r="A17" s="3" t="s">
        <v>14</v>
      </c>
      <c r="B17" s="3" t="s">
        <v>35</v>
      </c>
      <c r="C17" s="3">
        <v>98.165608</v>
      </c>
      <c r="D17" s="3">
        <v>16.895373</v>
      </c>
      <c r="E17" s="3">
        <v>469.524286</v>
      </c>
      <c r="F17" s="3">
        <v>62.322985</v>
      </c>
      <c r="G17" s="3">
        <v>0.926973</v>
      </c>
      <c r="H17" s="3">
        <v>36.43702</v>
      </c>
      <c r="I17" s="3">
        <v>0.7735849056603774</v>
      </c>
      <c r="J17" s="3">
        <v>0.8901233106475799</v>
      </c>
      <c r="K17" s="3">
        <v>18.906833</v>
      </c>
      <c r="L17" s="3">
        <v>0.8901233106475799</v>
      </c>
      <c r="N17" s="3">
        <v>1.0</v>
      </c>
    </row>
    <row r="18">
      <c r="A18" s="3" t="s">
        <v>16</v>
      </c>
      <c r="B18" s="3" t="s">
        <v>35</v>
      </c>
      <c r="C18" s="3">
        <v>98.165608</v>
      </c>
      <c r="D18" s="3">
        <v>33490.121918</v>
      </c>
      <c r="E18" s="3">
        <v>3619.100741</v>
      </c>
      <c r="F18" s="3">
        <v>73.897143</v>
      </c>
      <c r="G18" s="3">
        <v>28.983155</v>
      </c>
      <c r="H18" s="3">
        <v>37.592865</v>
      </c>
      <c r="I18" s="3">
        <v>1.0</v>
      </c>
      <c r="J18" s="3">
        <v>0.8980369280206321</v>
      </c>
      <c r="K18" s="3">
        <v>33520.108417</v>
      </c>
      <c r="L18" s="3">
        <v>0.8980369280206321</v>
      </c>
      <c r="N18" s="3">
        <v>1.0</v>
      </c>
    </row>
    <row r="19">
      <c r="A19" s="3" t="s">
        <v>33</v>
      </c>
      <c r="B19" s="3" t="s">
        <v>35</v>
      </c>
      <c r="C19" s="3">
        <v>98.165608</v>
      </c>
      <c r="D19" s="3">
        <v>305.941226</v>
      </c>
      <c r="E19" s="3">
        <v>1009.327883</v>
      </c>
      <c r="F19" s="3">
        <v>0.593585</v>
      </c>
      <c r="G19" s="3">
        <v>21.716404</v>
      </c>
      <c r="H19" s="3">
        <v>36.445013</v>
      </c>
      <c r="I19" s="3">
        <v>1.0</v>
      </c>
      <c r="J19" s="3">
        <v>0.8839339281409437</v>
      </c>
      <c r="K19" s="3">
        <v>328.742117</v>
      </c>
      <c r="L19" s="3">
        <v>0.8839339281409437</v>
      </c>
      <c r="N19" s="3">
        <v>0.0</v>
      </c>
    </row>
    <row r="20">
      <c r="A20" s="3" t="s">
        <v>17</v>
      </c>
      <c r="B20" s="3" t="s">
        <v>35</v>
      </c>
      <c r="C20" s="3">
        <v>98.165608</v>
      </c>
      <c r="D20" s="3">
        <v>248333.910458</v>
      </c>
      <c r="E20" s="3">
        <v>7515.970572</v>
      </c>
      <c r="F20" s="3">
        <v>181.749781</v>
      </c>
      <c r="G20" s="3">
        <v>7312.332987</v>
      </c>
      <c r="H20" s="3">
        <v>71.66295299999999</v>
      </c>
      <c r="I20" s="3">
        <v>0.9999992257970928</v>
      </c>
      <c r="J20" s="3">
        <v>0.9673627160542336</v>
      </c>
      <c r="K20" s="3">
        <v>255647.249034</v>
      </c>
      <c r="L20" s="3">
        <v>0.9673627160542336</v>
      </c>
      <c r="N20" s="3">
        <v>1.0</v>
      </c>
    </row>
    <row r="21" ht="15.75" customHeight="1">
      <c r="A21" s="3" t="s">
        <v>18</v>
      </c>
      <c r="B21" s="3" t="s">
        <v>35</v>
      </c>
      <c r="C21" s="3">
        <v>98.165608</v>
      </c>
      <c r="D21" s="3">
        <v>8656.948856</v>
      </c>
      <c r="E21" s="3">
        <v>3571.127585</v>
      </c>
      <c r="F21" s="3">
        <v>5.653995</v>
      </c>
      <c r="G21" s="3">
        <v>13.80039</v>
      </c>
      <c r="H21" s="3">
        <v>36.62285</v>
      </c>
      <c r="I21" s="3">
        <v>1.0</v>
      </c>
      <c r="J21" s="3">
        <v>0.914020316426406</v>
      </c>
      <c r="K21" s="3">
        <v>8671.833733000001</v>
      </c>
      <c r="L21" s="3">
        <v>0.914020316426406</v>
      </c>
      <c r="N21" s="3">
        <v>1.0</v>
      </c>
    </row>
    <row r="22" ht="15.75" customHeight="1">
      <c r="A22" s="3" t="s">
        <v>19</v>
      </c>
      <c r="B22" s="3" t="s">
        <v>35</v>
      </c>
      <c r="C22" s="3">
        <v>98.165608</v>
      </c>
      <c r="D22" s="3">
        <v>1.003344</v>
      </c>
      <c r="E22" s="3">
        <v>469.461718</v>
      </c>
      <c r="F22" s="3">
        <v>62.31429</v>
      </c>
      <c r="G22" s="3">
        <v>0.802869</v>
      </c>
      <c r="H22" s="3">
        <v>37.149989</v>
      </c>
      <c r="I22" s="3">
        <v>1.0</v>
      </c>
      <c r="J22" s="3">
        <v>0.3417893209090165</v>
      </c>
      <c r="K22" s="3">
        <v>2.809557</v>
      </c>
      <c r="L22" s="3">
        <v>0.3417893209090165</v>
      </c>
      <c r="N22" s="3">
        <v>0.0</v>
      </c>
    </row>
    <row r="23" ht="15.75" customHeight="1">
      <c r="A23" s="3" t="s">
        <v>13</v>
      </c>
      <c r="B23" s="3" t="s">
        <v>36</v>
      </c>
      <c r="C23" s="3">
        <v>3.200128</v>
      </c>
      <c r="D23" s="3">
        <v>567.66887</v>
      </c>
      <c r="E23" s="3">
        <v>32.674481</v>
      </c>
      <c r="F23" s="3">
        <v>4.450108</v>
      </c>
      <c r="G23" s="3">
        <v>0.64292</v>
      </c>
      <c r="H23" s="3">
        <v>2.473268</v>
      </c>
      <c r="I23" s="3">
        <v>1.0</v>
      </c>
      <c r="J23" s="3">
        <v>0.9116428212481948</v>
      </c>
      <c r="K23" s="3">
        <v>568.428277</v>
      </c>
      <c r="L23" s="3">
        <v>0.9116428212481948</v>
      </c>
      <c r="N23" s="3">
        <v>0.0</v>
      </c>
    </row>
    <row r="24" ht="15.75" customHeight="1">
      <c r="A24" s="3" t="s">
        <v>14</v>
      </c>
      <c r="B24" s="3" t="s">
        <v>36</v>
      </c>
      <c r="C24" s="3">
        <v>3.200128</v>
      </c>
      <c r="D24" s="3">
        <v>0.129656</v>
      </c>
      <c r="E24" s="3">
        <v>16.582147</v>
      </c>
      <c r="F24" s="3">
        <v>0.861281</v>
      </c>
      <c r="G24" s="3">
        <v>0.033387</v>
      </c>
      <c r="H24" s="3">
        <v>2.433624</v>
      </c>
      <c r="I24" s="3">
        <v>1.0</v>
      </c>
      <c r="J24" s="3">
        <v>0.962013824955242</v>
      </c>
      <c r="K24" s="3">
        <v>0.277294</v>
      </c>
      <c r="L24" s="3">
        <v>0.962013824955242</v>
      </c>
      <c r="N24" s="3">
        <v>0.0</v>
      </c>
    </row>
    <row r="25" ht="15.75" customHeight="1">
      <c r="A25" s="3" t="s">
        <v>16</v>
      </c>
      <c r="B25" s="3" t="s">
        <v>36</v>
      </c>
      <c r="C25" s="3">
        <v>3.200128</v>
      </c>
      <c r="D25" s="3">
        <v>548.065287</v>
      </c>
      <c r="E25" s="3">
        <v>35.887068</v>
      </c>
      <c r="F25" s="3">
        <v>4.450717</v>
      </c>
      <c r="G25" s="3">
        <v>0.628195</v>
      </c>
      <c r="H25" s="3">
        <v>2.274141</v>
      </c>
      <c r="I25" s="3">
        <v>1.0</v>
      </c>
      <c r="J25" s="3">
        <v>0.9101894646348144</v>
      </c>
      <c r="K25" s="3">
        <v>548.8042820000001</v>
      </c>
      <c r="L25" s="3">
        <v>0.9101894646348144</v>
      </c>
      <c r="N25" s="3">
        <v>0.0</v>
      </c>
    </row>
    <row r="26" ht="15.75" customHeight="1">
      <c r="A26" s="3" t="s">
        <v>33</v>
      </c>
      <c r="B26" s="3" t="s">
        <v>36</v>
      </c>
      <c r="C26" s="3">
        <v>3.200128</v>
      </c>
      <c r="D26" s="3">
        <v>13.731987</v>
      </c>
      <c r="E26" s="3">
        <v>33.343373</v>
      </c>
      <c r="F26" s="3">
        <v>0.308968</v>
      </c>
      <c r="G26" s="3">
        <v>0.817539</v>
      </c>
      <c r="H26" s="3">
        <v>2.431078</v>
      </c>
      <c r="I26" s="3">
        <v>1.0</v>
      </c>
      <c r="J26" s="3">
        <v>0.9672384890746114</v>
      </c>
      <c r="K26" s="3">
        <v>14.663777</v>
      </c>
      <c r="L26" s="3">
        <v>0.9672384890746114</v>
      </c>
      <c r="N26" s="3">
        <v>0.0</v>
      </c>
    </row>
    <row r="27" ht="15.75" customHeight="1">
      <c r="A27" s="3" t="s">
        <v>17</v>
      </c>
      <c r="B27" s="3" t="s">
        <v>36</v>
      </c>
      <c r="C27" s="3">
        <v>3.200128</v>
      </c>
      <c r="D27" s="3">
        <v>6130.15321</v>
      </c>
      <c r="E27" s="3">
        <v>728.981672</v>
      </c>
      <c r="F27" s="3">
        <v>179.823617</v>
      </c>
      <c r="G27" s="3">
        <v>146.558976</v>
      </c>
      <c r="H27" s="3">
        <v>2.909604</v>
      </c>
      <c r="I27" s="3">
        <v>1.0</v>
      </c>
      <c r="J27" s="3">
        <v>0.9608767019102408</v>
      </c>
      <c r="K27" s="3">
        <v>6276.833868000001</v>
      </c>
      <c r="L27" s="3">
        <v>0.9608767019102408</v>
      </c>
      <c r="N27" s="3">
        <v>0.0</v>
      </c>
    </row>
    <row r="28" ht="15.75" customHeight="1">
      <c r="A28" s="3" t="s">
        <v>18</v>
      </c>
      <c r="B28" s="3" t="s">
        <v>36</v>
      </c>
      <c r="C28" s="3">
        <v>3.200128</v>
      </c>
      <c r="D28" s="3">
        <v>197.751396</v>
      </c>
      <c r="E28" s="3">
        <v>32.66826</v>
      </c>
      <c r="F28" s="3">
        <v>0.860476</v>
      </c>
      <c r="G28" s="3">
        <v>0.472716</v>
      </c>
      <c r="H28" s="3">
        <v>2.435307</v>
      </c>
      <c r="I28" s="3">
        <v>1.0</v>
      </c>
      <c r="J28" s="3">
        <v>0.9584438772947872</v>
      </c>
      <c r="K28" s="3">
        <v>198.338363</v>
      </c>
      <c r="L28" s="3">
        <v>0.9584438772947872</v>
      </c>
      <c r="N28" s="3">
        <v>0.0</v>
      </c>
    </row>
    <row r="29" ht="15.75" customHeight="1">
      <c r="A29" s="3" t="s">
        <v>19</v>
      </c>
      <c r="B29" s="3" t="s">
        <v>36</v>
      </c>
      <c r="C29" s="3">
        <v>3.200128</v>
      </c>
      <c r="D29" s="3">
        <v>0.1108</v>
      </c>
      <c r="E29" s="3">
        <v>16.582362</v>
      </c>
      <c r="F29" s="3">
        <v>0.861279</v>
      </c>
      <c r="G29" s="3">
        <v>0.041574</v>
      </c>
      <c r="H29" s="3">
        <v>2.269083</v>
      </c>
      <c r="I29" s="3">
        <v>1.0</v>
      </c>
      <c r="J29" s="3">
        <v>0.6802222585048718</v>
      </c>
      <c r="K29" s="3">
        <v>0.263174</v>
      </c>
      <c r="L29" s="3">
        <v>0.6802222585048718</v>
      </c>
      <c r="N29" s="3">
        <v>0.0</v>
      </c>
    </row>
    <row r="30" ht="15.75" customHeight="1">
      <c r="A30" s="3" t="s">
        <v>13</v>
      </c>
      <c r="B30" s="3" t="s">
        <v>37</v>
      </c>
      <c r="C30" s="3">
        <v>255.645408</v>
      </c>
      <c r="D30" s="3">
        <v>38525.629993</v>
      </c>
      <c r="E30" s="3">
        <v>3483.229352</v>
      </c>
      <c r="F30" s="3">
        <v>7.503251</v>
      </c>
      <c r="G30" s="3">
        <v>44.180623</v>
      </c>
      <c r="H30" s="3">
        <v>73.180899</v>
      </c>
      <c r="I30" s="3">
        <v>1.0</v>
      </c>
      <c r="J30" s="3">
        <v>0.940093302240616</v>
      </c>
      <c r="K30" s="3">
        <v>38570.71824900001</v>
      </c>
      <c r="L30" s="3">
        <v>0.940093302240616</v>
      </c>
      <c r="N30" s="3">
        <v>1.0</v>
      </c>
    </row>
    <row r="31" ht="15.75" customHeight="1">
      <c r="A31" s="3" t="s">
        <v>14</v>
      </c>
      <c r="B31" s="3" t="s">
        <v>37</v>
      </c>
      <c r="C31" s="3">
        <v>255.645408</v>
      </c>
      <c r="D31" s="3">
        <v>63.619</v>
      </c>
      <c r="E31" s="3">
        <v>1287.929749</v>
      </c>
      <c r="F31" s="3">
        <v>255.674719</v>
      </c>
      <c r="G31" s="3">
        <v>1.844972</v>
      </c>
      <c r="H31" s="3">
        <v>3421.871278</v>
      </c>
      <c r="I31" s="3">
        <v>0.4927298012308304</v>
      </c>
      <c r="J31" s="3">
        <v>0.7078992743112216</v>
      </c>
      <c r="K31" s="3">
        <v>66.384614</v>
      </c>
      <c r="L31" s="3">
        <v>0.7078992743112216</v>
      </c>
      <c r="N31" s="3">
        <v>1.0</v>
      </c>
    </row>
    <row r="32" ht="15.75" customHeight="1">
      <c r="A32" s="3" t="s">
        <v>16</v>
      </c>
      <c r="B32" s="3" t="s">
        <v>37</v>
      </c>
      <c r="C32" s="3">
        <v>255.645408</v>
      </c>
      <c r="D32" s="3">
        <v>39962.14921</v>
      </c>
      <c r="E32" s="3">
        <v>3739.363345</v>
      </c>
      <c r="F32" s="3">
        <v>8.1015</v>
      </c>
      <c r="G32" s="3">
        <v>122.265366</v>
      </c>
      <c r="H32" s="3">
        <v>59.093412</v>
      </c>
      <c r="I32" s="3">
        <v>1.0</v>
      </c>
      <c r="J32" s="3">
        <v>0.6747002630486303</v>
      </c>
      <c r="K32" s="3">
        <v>40085.33437</v>
      </c>
      <c r="L32" s="3">
        <v>0.6747002630486303</v>
      </c>
      <c r="N32" s="3">
        <v>1.0</v>
      </c>
    </row>
    <row r="33" ht="15.75" customHeight="1">
      <c r="A33" s="3" t="s">
        <v>33</v>
      </c>
      <c r="B33" s="3" t="s">
        <v>37</v>
      </c>
      <c r="C33" s="3">
        <v>255.645408</v>
      </c>
      <c r="D33" s="3">
        <v>360.721838</v>
      </c>
      <c r="E33" s="3">
        <v>2625.836241</v>
      </c>
      <c r="F33" s="3">
        <v>0.730802</v>
      </c>
      <c r="G33" s="3">
        <v>66.661453</v>
      </c>
      <c r="H33" s="3">
        <v>57.52933100000001</v>
      </c>
      <c r="I33" s="3">
        <v>1.0</v>
      </c>
      <c r="J33" s="3">
        <v>0.5949939290958612</v>
      </c>
      <c r="K33" s="3">
        <v>428.303933</v>
      </c>
      <c r="L33" s="3">
        <v>0.5949939290958612</v>
      </c>
      <c r="N33" s="3">
        <v>0.0</v>
      </c>
    </row>
    <row r="34" ht="15.75" customHeight="1">
      <c r="A34" s="3" t="s">
        <v>17</v>
      </c>
      <c r="B34" s="3" t="s">
        <v>37</v>
      </c>
      <c r="K34" s="3">
        <v>345601.654758</v>
      </c>
      <c r="L34" s="3">
        <v>0.7522211928090535</v>
      </c>
      <c r="M34" s="3" t="s">
        <v>64</v>
      </c>
      <c r="N34" s="3">
        <v>0.0</v>
      </c>
    </row>
    <row r="35" ht="15.75" customHeight="1">
      <c r="A35" s="3" t="s">
        <v>18</v>
      </c>
      <c r="B35" s="3" t="s">
        <v>37</v>
      </c>
      <c r="C35" s="3">
        <v>255.645408</v>
      </c>
      <c r="D35" s="3">
        <v>20562.84223</v>
      </c>
      <c r="E35" s="3">
        <v>3483.41748</v>
      </c>
      <c r="F35" s="3">
        <v>10.321368</v>
      </c>
      <c r="G35" s="3">
        <v>30.898843</v>
      </c>
      <c r="H35" s="3">
        <v>68.090064</v>
      </c>
      <c r="I35" s="3">
        <v>1.0</v>
      </c>
      <c r="J35" s="3">
        <v>0.9361144567613734</v>
      </c>
      <c r="K35" s="3">
        <v>20594.661715</v>
      </c>
      <c r="L35" s="3">
        <v>0.9361144567613734</v>
      </c>
      <c r="N35" s="3">
        <v>1.0</v>
      </c>
    </row>
    <row r="36" ht="15.75" customHeight="1">
      <c r="A36" s="3" t="s">
        <v>19</v>
      </c>
      <c r="B36" s="3" t="s">
        <v>37</v>
      </c>
      <c r="C36" s="3">
        <v>255.645408</v>
      </c>
      <c r="D36" s="3">
        <v>0.919794</v>
      </c>
      <c r="E36" s="3">
        <v>1287.762644</v>
      </c>
      <c r="F36" s="3">
        <v>255.648398</v>
      </c>
      <c r="G36" s="3">
        <v>0.64441</v>
      </c>
      <c r="H36" s="3">
        <v>86.305743</v>
      </c>
      <c r="I36" s="3">
        <v>1.0</v>
      </c>
      <c r="J36" s="3">
        <v>0.7521591654449186</v>
      </c>
      <c r="K36" s="3">
        <v>2.483998</v>
      </c>
      <c r="L36" s="3">
        <v>0.7521591654449186</v>
      </c>
      <c r="N36" s="3">
        <v>1.0</v>
      </c>
    </row>
    <row r="37" ht="15.75" customHeight="1">
      <c r="A37" s="3" t="s">
        <v>13</v>
      </c>
      <c r="B37" s="3" t="s">
        <v>38</v>
      </c>
      <c r="C37" s="3">
        <v>0.200128</v>
      </c>
      <c r="D37" s="3">
        <v>71.140313</v>
      </c>
      <c r="E37" s="3">
        <v>16.135798</v>
      </c>
      <c r="F37" s="3">
        <v>5.424941</v>
      </c>
      <c r="G37" s="3">
        <v>1.131859</v>
      </c>
      <c r="H37" s="3">
        <v>1.250962</v>
      </c>
      <c r="I37" s="3">
        <v>1.0</v>
      </c>
      <c r="J37" s="3">
        <v>0.7041452996664415</v>
      </c>
      <c r="K37" s="3">
        <v>72.46627300000002</v>
      </c>
      <c r="L37" s="3">
        <v>0.7041452996664415</v>
      </c>
      <c r="N37" s="3">
        <v>0.0</v>
      </c>
    </row>
    <row r="38" ht="15.75" customHeight="1">
      <c r="A38" s="3" t="s">
        <v>14</v>
      </c>
      <c r="B38" s="3" t="s">
        <v>38</v>
      </c>
      <c r="C38" s="3">
        <v>0.200128</v>
      </c>
      <c r="D38" s="3">
        <v>0.529772</v>
      </c>
      <c r="E38" s="3">
        <v>1.176525</v>
      </c>
      <c r="F38" s="3">
        <v>0.247748</v>
      </c>
      <c r="G38" s="3">
        <v>0.041733</v>
      </c>
      <c r="H38" s="3">
        <v>1.823112</v>
      </c>
      <c r="I38" s="3">
        <v>0.2812755555555555</v>
      </c>
      <c r="J38" s="3">
        <v>0.2528946447164851</v>
      </c>
      <c r="K38" s="3">
        <v>0.748667</v>
      </c>
      <c r="L38" s="3">
        <v>0.2528946447164851</v>
      </c>
      <c r="N38" s="3">
        <v>0.0</v>
      </c>
    </row>
    <row r="39" ht="15.75" customHeight="1">
      <c r="A39" s="3" t="s">
        <v>16</v>
      </c>
      <c r="B39" s="3" t="s">
        <v>38</v>
      </c>
      <c r="C39" s="3">
        <v>0.200128</v>
      </c>
      <c r="D39" s="3">
        <v>73.125678</v>
      </c>
      <c r="E39" s="3">
        <v>16.490545</v>
      </c>
      <c r="F39" s="3">
        <v>5.496952</v>
      </c>
      <c r="G39" s="3">
        <v>1.224437</v>
      </c>
      <c r="H39" s="3">
        <v>1.238033</v>
      </c>
      <c r="I39" s="3">
        <v>1.0</v>
      </c>
      <c r="J39" s="3">
        <v>0.6736132426567192</v>
      </c>
      <c r="K39" s="3">
        <v>74.55076599999998</v>
      </c>
      <c r="L39" s="3">
        <v>0.6736132426567192</v>
      </c>
      <c r="N39" s="3">
        <v>0.0</v>
      </c>
    </row>
    <row r="40" ht="15.75" customHeight="1">
      <c r="A40" s="3" t="s">
        <v>33</v>
      </c>
      <c r="B40" s="3" t="s">
        <v>38</v>
      </c>
      <c r="C40" s="3">
        <v>0.200128</v>
      </c>
      <c r="D40" s="3">
        <v>4.512909</v>
      </c>
      <c r="E40" s="3">
        <v>2.909165</v>
      </c>
      <c r="F40" s="3">
        <v>0.40962</v>
      </c>
      <c r="G40" s="3">
        <v>1.10524</v>
      </c>
      <c r="H40" s="3">
        <v>1.239789</v>
      </c>
      <c r="I40" s="3">
        <v>1.0</v>
      </c>
      <c r="J40" s="3">
        <v>0.7692935499906738</v>
      </c>
      <c r="K40" s="3">
        <v>5.795311</v>
      </c>
      <c r="L40" s="3">
        <v>0.7692935499906738</v>
      </c>
      <c r="N40" s="3">
        <v>0.0</v>
      </c>
    </row>
    <row r="41" ht="15.75" customHeight="1">
      <c r="A41" s="3" t="s">
        <v>17</v>
      </c>
      <c r="B41" s="3" t="s">
        <v>38</v>
      </c>
      <c r="C41" s="3">
        <v>0.200128</v>
      </c>
      <c r="D41" s="3">
        <v>593.141622</v>
      </c>
      <c r="K41" s="3">
        <v>593.436331</v>
      </c>
      <c r="L41" s="3">
        <v>0.3099157725176542</v>
      </c>
      <c r="M41" s="3" t="s">
        <v>65</v>
      </c>
      <c r="N41" s="3">
        <v>0.0</v>
      </c>
    </row>
    <row r="42" ht="15.75" customHeight="1">
      <c r="A42" s="3" t="s">
        <v>18</v>
      </c>
      <c r="B42" s="3" t="s">
        <v>38</v>
      </c>
      <c r="C42" s="3">
        <v>0.200128</v>
      </c>
      <c r="D42" s="3">
        <v>18.822913</v>
      </c>
      <c r="E42" s="3">
        <v>15.852206</v>
      </c>
      <c r="F42" s="3">
        <v>1.099739</v>
      </c>
      <c r="G42" s="3">
        <v>1.143682</v>
      </c>
      <c r="H42" s="3">
        <v>1.246078</v>
      </c>
      <c r="I42" s="3">
        <v>1.0</v>
      </c>
      <c r="J42" s="3">
        <v>0.6892470714743553</v>
      </c>
      <c r="K42" s="3">
        <v>20.143757</v>
      </c>
      <c r="L42" s="3">
        <v>0.6892470714743553</v>
      </c>
      <c r="N42" s="3">
        <v>0.0</v>
      </c>
    </row>
    <row r="43" ht="15.75" customHeight="1">
      <c r="A43" s="3" t="s">
        <v>19</v>
      </c>
      <c r="B43" s="3" t="s">
        <v>38</v>
      </c>
      <c r="C43" s="3">
        <v>0.200128</v>
      </c>
      <c r="D43" s="3">
        <v>0.200651</v>
      </c>
      <c r="E43" s="3">
        <v>1.089052</v>
      </c>
      <c r="F43" s="3">
        <v>0.233523</v>
      </c>
      <c r="G43" s="3">
        <v>0.024733</v>
      </c>
      <c r="H43" s="3">
        <v>1.401306</v>
      </c>
      <c r="I43" s="3">
        <v>0.8339399999999999</v>
      </c>
      <c r="J43" s="3">
        <v>0.3107033186024915</v>
      </c>
      <c r="K43" s="3">
        <v>0.426035</v>
      </c>
      <c r="L43" s="3">
        <v>0.3107033186024915</v>
      </c>
      <c r="N43" s="3">
        <v>0.0</v>
      </c>
    </row>
    <row r="44" ht="15.75" customHeight="1">
      <c r="A44" s="3" t="s">
        <v>13</v>
      </c>
      <c r="B44" s="3" t="s">
        <v>39</v>
      </c>
      <c r="C44" s="3">
        <v>3.340128</v>
      </c>
      <c r="D44" s="3">
        <v>697.22423</v>
      </c>
      <c r="E44" s="3">
        <v>46.785356</v>
      </c>
      <c r="F44" s="3">
        <v>5.835771</v>
      </c>
      <c r="G44" s="3">
        <v>0.988904</v>
      </c>
      <c r="H44" s="3">
        <v>3.963601</v>
      </c>
      <c r="I44" s="3">
        <v>1.0</v>
      </c>
      <c r="J44" s="3">
        <v>0.8837643581576842</v>
      </c>
      <c r="K44" s="3">
        <v>698.358823</v>
      </c>
      <c r="L44" s="3">
        <v>0.8837643581576842</v>
      </c>
      <c r="N44" s="3">
        <v>0.0</v>
      </c>
    </row>
    <row r="45" ht="15.75" customHeight="1">
      <c r="A45" s="3" t="s">
        <v>14</v>
      </c>
      <c r="B45" s="3" t="s">
        <v>39</v>
      </c>
      <c r="C45" s="3">
        <v>3.340128</v>
      </c>
      <c r="D45" s="3">
        <v>3.702004</v>
      </c>
      <c r="E45" s="3">
        <v>21.917857</v>
      </c>
      <c r="F45" s="3">
        <v>3.325299</v>
      </c>
      <c r="G45" s="3">
        <v>0.176177</v>
      </c>
      <c r="H45" s="3">
        <v>3.873943</v>
      </c>
      <c r="I45" s="3">
        <v>1.0</v>
      </c>
      <c r="J45" s="3">
        <v>0.9647084837459872</v>
      </c>
      <c r="K45" s="3">
        <v>4.015456</v>
      </c>
      <c r="L45" s="3">
        <v>0.9647084837459872</v>
      </c>
      <c r="N45" s="3">
        <v>0.0</v>
      </c>
    </row>
    <row r="46" ht="15.75" customHeight="1">
      <c r="A46" s="3" t="s">
        <v>16</v>
      </c>
      <c r="B46" s="3" t="s">
        <v>39</v>
      </c>
      <c r="C46" s="3">
        <v>3.340128</v>
      </c>
      <c r="D46" s="3">
        <v>691.83467</v>
      </c>
      <c r="E46" s="3">
        <v>50.135202</v>
      </c>
      <c r="F46" s="3">
        <v>5.836585</v>
      </c>
      <c r="G46" s="3">
        <v>0.985661</v>
      </c>
      <c r="H46" s="3">
        <v>3.887334</v>
      </c>
      <c r="I46" s="3">
        <v>1.0</v>
      </c>
      <c r="J46" s="3">
        <v>0.9007397196037632</v>
      </c>
      <c r="K46" s="3">
        <v>692.976776</v>
      </c>
      <c r="L46" s="3">
        <v>0.9007397196037632</v>
      </c>
      <c r="N46" s="3">
        <v>0.0</v>
      </c>
    </row>
    <row r="47" ht="15.75" customHeight="1">
      <c r="A47" s="3" t="s">
        <v>33</v>
      </c>
      <c r="B47" s="3" t="s">
        <v>39</v>
      </c>
      <c r="C47" s="3">
        <v>3.340128</v>
      </c>
      <c r="D47" s="3">
        <v>19.826203</v>
      </c>
      <c r="E47" s="3">
        <v>44.915591</v>
      </c>
      <c r="F47" s="3">
        <v>0.3905</v>
      </c>
      <c r="G47" s="3">
        <v>1.098834</v>
      </c>
      <c r="H47" s="3">
        <v>3.85434</v>
      </c>
      <c r="I47" s="3">
        <v>1.0</v>
      </c>
      <c r="J47" s="3">
        <v>0.9706317984770574</v>
      </c>
      <c r="K47" s="3">
        <v>21.062312</v>
      </c>
      <c r="L47" s="3">
        <v>0.9706317984770574</v>
      </c>
      <c r="N47" s="3">
        <v>0.0</v>
      </c>
    </row>
    <row r="48" ht="15.75" customHeight="1">
      <c r="A48" s="3" t="s">
        <v>17</v>
      </c>
      <c r="B48" s="3" t="s">
        <v>39</v>
      </c>
      <c r="C48" s="3">
        <v>3.340128</v>
      </c>
      <c r="D48" s="3">
        <v>4028.771362</v>
      </c>
      <c r="K48" s="3">
        <v>4028.977</v>
      </c>
      <c r="L48" s="3">
        <v>0.6055623093615835</v>
      </c>
      <c r="M48" s="3" t="s">
        <v>66</v>
      </c>
      <c r="N48" s="3">
        <v>0.0</v>
      </c>
    </row>
    <row r="49" ht="15.75" customHeight="1">
      <c r="A49" s="3" t="s">
        <v>18</v>
      </c>
      <c r="B49" s="3" t="s">
        <v>39</v>
      </c>
      <c r="C49" s="3">
        <v>3.340128</v>
      </c>
      <c r="D49" s="3">
        <v>211.64324</v>
      </c>
      <c r="E49" s="3">
        <v>46.783413</v>
      </c>
      <c r="F49" s="3">
        <v>0.98881</v>
      </c>
      <c r="G49" s="3">
        <v>0.73318</v>
      </c>
      <c r="H49" s="3">
        <v>3.921229</v>
      </c>
      <c r="I49" s="3">
        <v>1.0</v>
      </c>
      <c r="J49" s="3">
        <v>0.936800571008416</v>
      </c>
      <c r="K49" s="3">
        <v>212.513695</v>
      </c>
      <c r="L49" s="3">
        <v>0.936800571008416</v>
      </c>
      <c r="N49" s="3">
        <v>0.0</v>
      </c>
    </row>
    <row r="50" ht="15.75" customHeight="1">
      <c r="A50" s="3" t="s">
        <v>19</v>
      </c>
      <c r="B50" s="3" t="s">
        <v>39</v>
      </c>
      <c r="C50" s="3">
        <v>3.340128</v>
      </c>
      <c r="D50" s="3">
        <v>0.156445</v>
      </c>
      <c r="E50" s="3">
        <v>17.173973</v>
      </c>
      <c r="F50" s="3">
        <v>1.147901</v>
      </c>
      <c r="G50" s="3">
        <v>0.04454</v>
      </c>
      <c r="H50" s="3">
        <v>3.878738</v>
      </c>
      <c r="I50" s="3">
        <v>1.0</v>
      </c>
      <c r="J50" s="3">
        <v>0.6068339277575631</v>
      </c>
      <c r="K50" s="3">
        <v>0.35743</v>
      </c>
      <c r="L50" s="3">
        <v>0.6068339277575631</v>
      </c>
      <c r="N50" s="3">
        <v>0.0</v>
      </c>
    </row>
    <row r="51" ht="15.75" customHeight="1">
      <c r="A51" s="3" t="s">
        <v>13</v>
      </c>
      <c r="B51" s="3" t="s">
        <v>40</v>
      </c>
      <c r="C51" s="3">
        <v>162.039016</v>
      </c>
      <c r="D51" s="3">
        <v>31798.285719</v>
      </c>
      <c r="E51" s="3">
        <v>2657.274435</v>
      </c>
      <c r="F51" s="3">
        <v>18.394947</v>
      </c>
      <c r="G51" s="3">
        <v>40.709184</v>
      </c>
      <c r="H51" s="3">
        <v>32.392226</v>
      </c>
      <c r="I51" s="3">
        <v>1.0</v>
      </c>
      <c r="J51" s="3">
        <v>0.7803497111792246</v>
      </c>
      <c r="K51" s="3">
        <v>31839.738781</v>
      </c>
      <c r="L51" s="3">
        <v>0.7803497111792246</v>
      </c>
      <c r="N51" s="3">
        <v>1.0</v>
      </c>
    </row>
    <row r="52" ht="15.75" customHeight="1">
      <c r="A52" s="3" t="s">
        <v>14</v>
      </c>
      <c r="B52" s="3" t="s">
        <v>40</v>
      </c>
      <c r="C52" s="3">
        <v>162.039016</v>
      </c>
      <c r="D52" s="3">
        <v>48.024348</v>
      </c>
      <c r="E52" s="3">
        <v>790.725097</v>
      </c>
      <c r="F52" s="3">
        <v>150.212944</v>
      </c>
      <c r="G52" s="3">
        <v>1.177538</v>
      </c>
      <c r="H52" s="3">
        <v>49.773612</v>
      </c>
      <c r="I52" s="3">
        <v>0.5256410256410257</v>
      </c>
      <c r="J52" s="3">
        <v>0.7507286197649192</v>
      </c>
      <c r="K52" s="3">
        <v>49.928029</v>
      </c>
      <c r="L52" s="3">
        <v>0.7507286197649192</v>
      </c>
      <c r="N52" s="3">
        <v>1.0</v>
      </c>
    </row>
    <row r="53" ht="15.75" customHeight="1">
      <c r="A53" s="3" t="s">
        <v>16</v>
      </c>
      <c r="B53" s="3" t="s">
        <v>40</v>
      </c>
      <c r="C53" s="3">
        <v>162.039016</v>
      </c>
      <c r="D53" s="3">
        <v>31672.4825</v>
      </c>
      <c r="E53" s="3">
        <v>2961.930302</v>
      </c>
      <c r="F53" s="3">
        <v>18.839602</v>
      </c>
      <c r="G53" s="3">
        <v>73.987918</v>
      </c>
      <c r="H53" s="3">
        <v>32.235179</v>
      </c>
      <c r="I53" s="3">
        <v>1.0</v>
      </c>
      <c r="J53" s="3">
        <v>0.6080685318053468</v>
      </c>
      <c r="K53" s="3">
        <v>31747.227225</v>
      </c>
      <c r="L53" s="3">
        <v>0.6080685318053468</v>
      </c>
      <c r="N53" s="3">
        <v>0.0</v>
      </c>
    </row>
    <row r="54" ht="15.75" customHeight="1">
      <c r="A54" s="3" t="s">
        <v>33</v>
      </c>
      <c r="B54" s="3" t="s">
        <v>40</v>
      </c>
      <c r="C54" s="3">
        <v>162.039016</v>
      </c>
      <c r="D54" s="3">
        <v>252.555672</v>
      </c>
      <c r="E54" s="3">
        <v>1665.518515</v>
      </c>
      <c r="F54" s="3">
        <v>0.568208</v>
      </c>
      <c r="G54" s="3">
        <v>33.584584</v>
      </c>
      <c r="H54" s="3">
        <v>30.896132</v>
      </c>
      <c r="I54" s="3">
        <v>1.0</v>
      </c>
      <c r="J54" s="3">
        <v>0.6896202053986414</v>
      </c>
      <c r="K54" s="3">
        <v>286.866399</v>
      </c>
      <c r="L54" s="3">
        <v>0.6896202053986414</v>
      </c>
      <c r="N54" s="3">
        <v>0.0</v>
      </c>
    </row>
    <row r="55" ht="15.75" customHeight="1">
      <c r="A55" s="3" t="s">
        <v>17</v>
      </c>
      <c r="B55" s="3" t="s">
        <v>40</v>
      </c>
      <c r="C55" s="3">
        <v>162.039016</v>
      </c>
      <c r="D55" s="3">
        <v>40475.392728</v>
      </c>
      <c r="K55" s="3">
        <v>40476.636096</v>
      </c>
      <c r="L55" s="3">
        <v>0.6034602873382111</v>
      </c>
      <c r="M55" s="3" t="s">
        <v>67</v>
      </c>
      <c r="N55" s="3">
        <v>0.0</v>
      </c>
    </row>
    <row r="56" ht="15.75" customHeight="1">
      <c r="A56" s="3" t="s">
        <v>18</v>
      </c>
      <c r="B56" s="3" t="s">
        <v>40</v>
      </c>
      <c r="C56" s="3">
        <v>162.039016</v>
      </c>
      <c r="D56" s="3">
        <v>14169.21672</v>
      </c>
      <c r="E56" s="3">
        <v>2657.274707</v>
      </c>
      <c r="F56" s="3">
        <v>8.612231</v>
      </c>
      <c r="G56" s="3">
        <v>33.171613</v>
      </c>
      <c r="H56" s="3">
        <v>35.519084</v>
      </c>
      <c r="I56" s="3">
        <v>1.0</v>
      </c>
      <c r="J56" s="3">
        <v>0.8710753961720381</v>
      </c>
      <c r="K56" s="3">
        <v>14203.114476</v>
      </c>
      <c r="L56" s="3">
        <v>0.8710753961720381</v>
      </c>
      <c r="N56" s="3">
        <v>1.0</v>
      </c>
    </row>
    <row r="57" ht="15.75" customHeight="1">
      <c r="A57" s="3" t="s">
        <v>19</v>
      </c>
      <c r="B57" s="3" t="s">
        <v>40</v>
      </c>
      <c r="C57" s="3">
        <v>162.039016</v>
      </c>
      <c r="D57" s="3">
        <v>0.756807</v>
      </c>
      <c r="E57" s="3">
        <v>790.62031</v>
      </c>
      <c r="F57" s="3">
        <v>150.190464</v>
      </c>
      <c r="G57" s="3">
        <v>0.465924</v>
      </c>
      <c r="H57" s="3">
        <v>43.440059</v>
      </c>
      <c r="I57" s="3">
        <v>1.0</v>
      </c>
      <c r="J57" s="3">
        <v>0.6034914712892727</v>
      </c>
      <c r="K57" s="3">
        <v>1.979538</v>
      </c>
      <c r="L57" s="3">
        <v>0.6034914712892727</v>
      </c>
      <c r="N57" s="3">
        <v>0.0</v>
      </c>
    </row>
    <row r="58" ht="15.75" customHeight="1">
      <c r="A58" s="3" t="s">
        <v>13</v>
      </c>
      <c r="B58" s="3" t="s">
        <v>41</v>
      </c>
      <c r="C58" s="3">
        <v>18.712096</v>
      </c>
      <c r="D58" s="3">
        <v>1753.5903</v>
      </c>
      <c r="E58" s="3">
        <v>272.192849</v>
      </c>
      <c r="F58" s="3">
        <v>3.065288</v>
      </c>
      <c r="G58" s="3">
        <v>3.300102</v>
      </c>
      <c r="H58" s="3">
        <v>11.076368</v>
      </c>
      <c r="I58" s="3">
        <v>1.0</v>
      </c>
      <c r="J58" s="3">
        <v>0.9617934438106162</v>
      </c>
      <c r="K58" s="3">
        <v>1757.133249</v>
      </c>
      <c r="L58" s="3">
        <v>0.9617934438106162</v>
      </c>
      <c r="N58" s="3">
        <v>1.0</v>
      </c>
    </row>
    <row r="59" ht="15.75" customHeight="1">
      <c r="A59" s="3" t="s">
        <v>14</v>
      </c>
      <c r="B59" s="3" t="s">
        <v>41</v>
      </c>
      <c r="C59" s="3">
        <v>18.712096</v>
      </c>
      <c r="D59" s="3">
        <v>15.514332</v>
      </c>
      <c r="E59" s="3">
        <v>94.612126</v>
      </c>
      <c r="F59" s="3">
        <v>18.751294</v>
      </c>
      <c r="G59" s="3">
        <v>0.220722</v>
      </c>
      <c r="H59" s="3">
        <v>13.373323</v>
      </c>
      <c r="I59" s="3">
        <v>0.5</v>
      </c>
      <c r="J59" s="3">
        <v>0.813608688557366</v>
      </c>
      <c r="K59" s="3">
        <v>15.988778</v>
      </c>
      <c r="L59" s="3">
        <v>0.813608688557366</v>
      </c>
      <c r="N59" s="3">
        <v>0.0</v>
      </c>
    </row>
    <row r="60" ht="15.75" customHeight="1">
      <c r="A60" s="3" t="s">
        <v>16</v>
      </c>
      <c r="B60" s="3" t="s">
        <v>41</v>
      </c>
      <c r="C60" s="3">
        <v>18.712096</v>
      </c>
      <c r="D60" s="3">
        <v>2004.715872</v>
      </c>
      <c r="E60" s="3">
        <v>320.939676</v>
      </c>
      <c r="F60" s="3">
        <v>3.796219</v>
      </c>
      <c r="G60" s="3">
        <v>7.671075</v>
      </c>
      <c r="H60" s="3">
        <v>10.797982</v>
      </c>
      <c r="I60" s="3">
        <v>1.0</v>
      </c>
      <c r="J60" s="3">
        <v>0.9211652587316737</v>
      </c>
      <c r="K60" s="3">
        <v>2012.636779</v>
      </c>
      <c r="L60" s="3">
        <v>0.9211652587316737</v>
      </c>
      <c r="N60" s="3">
        <v>1.0</v>
      </c>
    </row>
    <row r="61" ht="15.75" customHeight="1">
      <c r="A61" s="3" t="s">
        <v>33</v>
      </c>
      <c r="B61" s="3" t="s">
        <v>41</v>
      </c>
      <c r="C61" s="3">
        <v>18.712096</v>
      </c>
      <c r="D61" s="3">
        <v>42.088355</v>
      </c>
      <c r="E61" s="3">
        <v>192.992152</v>
      </c>
      <c r="F61" s="3">
        <v>0.780838</v>
      </c>
      <c r="G61" s="3">
        <v>4.363943</v>
      </c>
      <c r="H61" s="3">
        <v>10.22434</v>
      </c>
      <c r="I61" s="3">
        <v>1.0</v>
      </c>
      <c r="J61" s="3">
        <v>0.8689819291242673</v>
      </c>
      <c r="K61" s="3">
        <v>46.706022</v>
      </c>
      <c r="L61" s="3">
        <v>0.8689819291242673</v>
      </c>
      <c r="N61" s="3">
        <v>0.0</v>
      </c>
    </row>
    <row r="62" ht="15.75" customHeight="1">
      <c r="A62" s="3" t="s">
        <v>17</v>
      </c>
      <c r="B62" s="3" t="s">
        <v>41</v>
      </c>
      <c r="C62" s="3">
        <v>18.712096</v>
      </c>
      <c r="D62" s="3">
        <v>31005.95698</v>
      </c>
      <c r="K62" s="3">
        <v>31006.373485</v>
      </c>
      <c r="L62" s="3">
        <v>0.7405535910696998</v>
      </c>
      <c r="M62" s="3" t="s">
        <v>68</v>
      </c>
      <c r="N62" s="3">
        <v>0.0</v>
      </c>
    </row>
    <row r="63" ht="15.75" customHeight="1">
      <c r="A63" s="3" t="s">
        <v>18</v>
      </c>
      <c r="B63" s="3" t="s">
        <v>41</v>
      </c>
      <c r="C63" s="3">
        <v>18.712096</v>
      </c>
      <c r="D63" s="3">
        <v>1368.695962</v>
      </c>
      <c r="E63" s="3">
        <v>272.214815</v>
      </c>
      <c r="F63" s="3">
        <v>2.687689</v>
      </c>
      <c r="G63" s="3">
        <v>2.531903</v>
      </c>
      <c r="H63" s="3">
        <v>9.343745</v>
      </c>
      <c r="I63" s="3">
        <v>1.0</v>
      </c>
      <c r="J63" s="3">
        <v>0.9334724897672037</v>
      </c>
      <c r="K63" s="3">
        <v>1371.481589</v>
      </c>
      <c r="L63" s="3">
        <v>0.9334724897672037</v>
      </c>
      <c r="N63" s="3">
        <v>1.0</v>
      </c>
    </row>
    <row r="64" ht="15.75" customHeight="1">
      <c r="A64" s="3" t="s">
        <v>19</v>
      </c>
      <c r="B64" s="3" t="s">
        <v>41</v>
      </c>
      <c r="C64" s="3">
        <v>18.712096</v>
      </c>
      <c r="D64" s="3">
        <v>0.249832</v>
      </c>
      <c r="E64" s="3">
        <v>94.460549</v>
      </c>
      <c r="F64" s="3">
        <v>18.715492</v>
      </c>
      <c r="G64" s="3">
        <v>0.07713</v>
      </c>
      <c r="H64" s="3">
        <v>12.129172</v>
      </c>
      <c r="I64" s="3">
        <v>1.0</v>
      </c>
      <c r="J64" s="3">
        <v>0.7408848194843396</v>
      </c>
      <c r="K64" s="3">
        <v>0.576794</v>
      </c>
      <c r="L64" s="3">
        <v>0.7408848194843396</v>
      </c>
      <c r="N64" s="3">
        <v>0.0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>
      <c r="A1" s="4" t="s">
        <v>0</v>
      </c>
      <c r="B1" s="4" t="s">
        <v>42</v>
      </c>
      <c r="C1" s="4" t="s">
        <v>28</v>
      </c>
      <c r="D1" s="4" t="s">
        <v>43</v>
      </c>
      <c r="E1" s="4" t="s">
        <v>44</v>
      </c>
      <c r="F1" s="4" t="s">
        <v>45</v>
      </c>
      <c r="G1" s="4" t="s">
        <v>46</v>
      </c>
    </row>
    <row r="2">
      <c r="A2" s="3" t="s">
        <v>47</v>
      </c>
      <c r="B2" s="3">
        <v>9.567971</v>
      </c>
      <c r="C2" s="3">
        <v>0.5524484171118904</v>
      </c>
      <c r="D2" s="3">
        <v>0.9808198503233634</v>
      </c>
      <c r="E2" s="3" t="b">
        <v>1</v>
      </c>
      <c r="F2" s="3" t="s">
        <v>48</v>
      </c>
      <c r="G2" s="3" t="s">
        <v>49</v>
      </c>
    </row>
    <row r="3">
      <c r="A3" s="3" t="s">
        <v>50</v>
      </c>
      <c r="B3" s="3">
        <v>164.03103</v>
      </c>
      <c r="C3" s="3">
        <v>0.801653655337049</v>
      </c>
      <c r="D3" s="3">
        <v>2.214926011968676</v>
      </c>
      <c r="E3" s="3" t="b">
        <v>1</v>
      </c>
      <c r="F3" s="3" t="s">
        <v>48</v>
      </c>
      <c r="G3" s="3" t="s">
        <v>51</v>
      </c>
    </row>
    <row r="4">
      <c r="A4" s="3" t="s">
        <v>52</v>
      </c>
      <c r="B4" s="3">
        <v>1176.454178</v>
      </c>
      <c r="C4" s="3">
        <v>0.8411993842668953</v>
      </c>
      <c r="D4" s="3">
        <v>3.070575016400018</v>
      </c>
      <c r="E4" s="3" t="b">
        <v>1</v>
      </c>
      <c r="F4" s="3" t="s">
        <v>48</v>
      </c>
      <c r="G4" s="3" t="s">
        <v>53</v>
      </c>
    </row>
    <row r="5">
      <c r="A5" s="3" t="s">
        <v>54</v>
      </c>
      <c r="B5" s="3">
        <v>46023.600211</v>
      </c>
      <c r="C5" s="3">
        <v>0.8967424083904465</v>
      </c>
      <c r="D5" s="3">
        <v>4.66298058848766</v>
      </c>
      <c r="E5" s="3" t="b">
        <v>1</v>
      </c>
      <c r="F5" s="3" t="s">
        <v>48</v>
      </c>
      <c r="G5" s="3" t="s">
        <v>55</v>
      </c>
    </row>
    <row r="6">
      <c r="A6" s="3" t="s">
        <v>56</v>
      </c>
      <c r="B6" s="3">
        <v>108572.264133</v>
      </c>
      <c r="C6" s="3">
        <v>0.8705836311350881</v>
      </c>
      <c r="D6" s="3">
        <v>5.035718894567434</v>
      </c>
      <c r="E6" s="3" t="b">
        <v>0</v>
      </c>
      <c r="F6" s="3" t="s">
        <v>57</v>
      </c>
      <c r="G6" s="3" t="s">
        <v>58</v>
      </c>
    </row>
    <row r="7">
      <c r="A7" s="3" t="s">
        <v>59</v>
      </c>
      <c r="B7" s="3">
        <v>110736.819151</v>
      </c>
      <c r="C7" s="3">
        <v>0.8223657767842238</v>
      </c>
      <c r="D7" s="3">
        <v>5.044292044505438</v>
      </c>
      <c r="E7" s="3" t="b">
        <v>0</v>
      </c>
      <c r="F7" s="3" t="s">
        <v>57</v>
      </c>
      <c r="G7" s="3" t="s">
        <v>60</v>
      </c>
    </row>
    <row r="8">
      <c r="A8" s="3" t="s">
        <v>61</v>
      </c>
      <c r="B8" s="3">
        <v>710597.6617780001</v>
      </c>
      <c r="C8" s="3">
        <v>0.7250099521474753</v>
      </c>
      <c r="D8" s="3">
        <v>5.851623774109427</v>
      </c>
      <c r="E8" s="3" t="b">
        <v>0</v>
      </c>
      <c r="F8" s="3" t="s">
        <v>57</v>
      </c>
      <c r="G8" s="3" t="s">
        <v>62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4" width="8.63"/>
  </cols>
  <sheetData>
    <row r="1">
      <c r="A1" s="12" t="s">
        <v>0</v>
      </c>
      <c r="B1" s="12" t="s">
        <v>20</v>
      </c>
      <c r="C1" s="12" t="s">
        <v>21</v>
      </c>
      <c r="D1" s="12" t="s">
        <v>22</v>
      </c>
      <c r="E1" s="12" t="s">
        <v>23</v>
      </c>
      <c r="F1" s="12" t="s">
        <v>24</v>
      </c>
      <c r="G1" s="12" t="s">
        <v>25</v>
      </c>
      <c r="H1" s="12" t="s">
        <v>26</v>
      </c>
      <c r="I1" s="12" t="s">
        <v>27</v>
      </c>
      <c r="J1" s="12" t="s">
        <v>28</v>
      </c>
      <c r="K1" s="12" t="s">
        <v>29</v>
      </c>
      <c r="L1" s="12" t="s">
        <v>30</v>
      </c>
      <c r="M1" s="12" t="s">
        <v>63</v>
      </c>
      <c r="N1" s="12" t="s">
        <v>31</v>
      </c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4" t="s">
        <v>13</v>
      </c>
      <c r="B2" s="14" t="s">
        <v>32</v>
      </c>
      <c r="C2" s="14">
        <v>3.907448</v>
      </c>
      <c r="D2" s="14">
        <v>1190.781749</v>
      </c>
      <c r="E2" s="14">
        <v>128.448822</v>
      </c>
      <c r="F2" s="14">
        <v>3.998595</v>
      </c>
      <c r="G2" s="14">
        <v>1.022083</v>
      </c>
      <c r="H2" s="14">
        <v>1.606328</v>
      </c>
      <c r="I2" s="14">
        <v>1.0</v>
      </c>
      <c r="J2" s="14">
        <v>0.8538078006928879</v>
      </c>
      <c r="K2" s="14">
        <v>1191.889439</v>
      </c>
      <c r="L2" s="14">
        <v>0.8538078006928879</v>
      </c>
      <c r="M2" s="13"/>
      <c r="N2" s="14">
        <v>1.0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14</v>
      </c>
      <c r="B3" s="14" t="s">
        <v>32</v>
      </c>
      <c r="C3" s="14">
        <v>3.907448</v>
      </c>
      <c r="D3" s="14">
        <v>1.719159</v>
      </c>
      <c r="E3" s="14">
        <v>19.143581</v>
      </c>
      <c r="F3" s="14">
        <v>2.157499</v>
      </c>
      <c r="G3" s="14">
        <v>0.047856</v>
      </c>
      <c r="H3" s="14">
        <v>1.629644</v>
      </c>
      <c r="I3" s="14">
        <v>0.7142857142857143</v>
      </c>
      <c r="J3" s="14">
        <v>0.8953058656960624</v>
      </c>
      <c r="K3" s="14">
        <v>1.863469</v>
      </c>
      <c r="L3" s="14">
        <v>0.8953058656960624</v>
      </c>
      <c r="M3" s="13"/>
      <c r="N3" s="14">
        <v>1.0</v>
      </c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16</v>
      </c>
      <c r="B4" s="14" t="s">
        <v>32</v>
      </c>
      <c r="C4" s="14">
        <v>3.907448</v>
      </c>
      <c r="D4" s="14">
        <v>1258.993205</v>
      </c>
      <c r="E4" s="14">
        <v>129.353779</v>
      </c>
      <c r="F4" s="14">
        <v>4.051842</v>
      </c>
      <c r="G4" s="14">
        <v>1.5801</v>
      </c>
      <c r="H4" s="14">
        <v>1.874109</v>
      </c>
      <c r="I4" s="14">
        <v>1.0</v>
      </c>
      <c r="J4" s="14">
        <v>0.8783875111737915</v>
      </c>
      <c r="K4" s="14">
        <v>1260.666345</v>
      </c>
      <c r="L4" s="14">
        <v>0.8783875111737915</v>
      </c>
      <c r="M4" s="13"/>
      <c r="N4" s="14">
        <v>1.0</v>
      </c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33</v>
      </c>
      <c r="B5" s="14" t="s">
        <v>32</v>
      </c>
      <c r="C5" s="14">
        <v>3.907448</v>
      </c>
      <c r="D5" s="14">
        <v>13.825643</v>
      </c>
      <c r="E5" s="14">
        <v>40.827661</v>
      </c>
      <c r="F5" s="14">
        <v>0.260145</v>
      </c>
      <c r="G5" s="14">
        <v>0.960307</v>
      </c>
      <c r="H5" s="14">
        <v>1.637157</v>
      </c>
      <c r="I5" s="14">
        <v>1.0</v>
      </c>
      <c r="J5" s="14">
        <v>0.8437299459168182</v>
      </c>
      <c r="K5" s="14">
        <v>14.882404</v>
      </c>
      <c r="L5" s="14">
        <v>0.8437299459168182</v>
      </c>
      <c r="M5" s="13"/>
      <c r="N5" s="14">
        <v>0.0</v>
      </c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17</v>
      </c>
      <c r="B6" s="14" t="s">
        <v>32</v>
      </c>
      <c r="C6" s="14">
        <v>3.907448</v>
      </c>
      <c r="D6" s="14">
        <v>17867.756805</v>
      </c>
      <c r="E6" s="14">
        <v>1995.920072</v>
      </c>
      <c r="F6" s="14">
        <v>180.572057</v>
      </c>
      <c r="G6" s="14">
        <v>404.573345</v>
      </c>
      <c r="H6" s="14">
        <v>2.824632</v>
      </c>
      <c r="I6" s="14">
        <v>0.99997747816918</v>
      </c>
      <c r="J6" s="14">
        <v>0.934890489257593</v>
      </c>
      <c r="K6" s="14">
        <v>18272.456727</v>
      </c>
      <c r="L6" s="14">
        <v>0.934890489257593</v>
      </c>
      <c r="M6" s="13"/>
      <c r="N6" s="14">
        <v>1.0</v>
      </c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18</v>
      </c>
      <c r="B7" s="14" t="s">
        <v>32</v>
      </c>
      <c r="C7" s="14">
        <v>3.907448</v>
      </c>
      <c r="D7" s="14">
        <v>460.009443</v>
      </c>
      <c r="E7" s="14">
        <v>128.818135</v>
      </c>
      <c r="F7" s="14">
        <v>1.108786</v>
      </c>
      <c r="G7" s="14">
        <v>0.695328</v>
      </c>
      <c r="H7" s="14">
        <v>1.580727</v>
      </c>
      <c r="I7" s="14">
        <v>1.0</v>
      </c>
      <c r="J7" s="14">
        <v>0.87648169010095</v>
      </c>
      <c r="K7" s="14">
        <v>460.801225</v>
      </c>
      <c r="L7" s="14">
        <v>0.87648169010095</v>
      </c>
      <c r="M7" s="13"/>
      <c r="N7" s="14">
        <v>1.0</v>
      </c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19</v>
      </c>
      <c r="B8" s="14" t="s">
        <v>32</v>
      </c>
      <c r="C8" s="14">
        <v>3.907448</v>
      </c>
      <c r="D8" s="14">
        <v>0.09304</v>
      </c>
      <c r="E8" s="14">
        <v>18.854423</v>
      </c>
      <c r="F8" s="14">
        <v>2.152501</v>
      </c>
      <c r="G8" s="14">
        <v>0.043307</v>
      </c>
      <c r="H8" s="14">
        <v>1.7869</v>
      </c>
      <c r="I8" s="14">
        <v>1.0</v>
      </c>
      <c r="J8" s="14">
        <v>0.4335203098950193</v>
      </c>
      <c r="K8" s="14">
        <v>0.229387</v>
      </c>
      <c r="L8" s="14">
        <v>0.4335203098950193</v>
      </c>
      <c r="M8" s="13"/>
      <c r="N8" s="14">
        <v>0.0</v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13</v>
      </c>
      <c r="B9" s="14" t="s">
        <v>34</v>
      </c>
      <c r="C9" s="14">
        <v>4.520128</v>
      </c>
      <c r="D9" s="14">
        <v>702.503262</v>
      </c>
      <c r="E9" s="14">
        <v>55.860154</v>
      </c>
      <c r="F9" s="14">
        <v>7.689371</v>
      </c>
      <c r="G9" s="14">
        <v>1.184351</v>
      </c>
      <c r="H9" s="14">
        <v>6.435102</v>
      </c>
      <c r="I9" s="14">
        <v>1.0</v>
      </c>
      <c r="J9" s="14">
        <v>0.9329952327327328</v>
      </c>
      <c r="K9" s="14">
        <v>703.7732199999999</v>
      </c>
      <c r="L9" s="14">
        <v>0.9329952327327328</v>
      </c>
      <c r="M9" s="13"/>
      <c r="N9" s="14">
        <v>0.0</v>
      </c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14</v>
      </c>
      <c r="B10" s="14" t="s">
        <v>34</v>
      </c>
      <c r="C10" s="14">
        <v>4.520128</v>
      </c>
      <c r="D10" s="14">
        <v>5.551147</v>
      </c>
      <c r="E10" s="14">
        <v>30.005692</v>
      </c>
      <c r="F10" s="14">
        <v>4.42306</v>
      </c>
      <c r="G10" s="14">
        <v>0.281817</v>
      </c>
      <c r="H10" s="14">
        <v>6.513202000000001</v>
      </c>
      <c r="I10" s="14">
        <v>1.0</v>
      </c>
      <c r="J10" s="14">
        <v>0.977920457957958</v>
      </c>
      <c r="K10" s="14">
        <v>5.929418</v>
      </c>
      <c r="L10" s="14">
        <v>0.977920457957958</v>
      </c>
      <c r="M10" s="13"/>
      <c r="N10" s="14">
        <v>0.0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16</v>
      </c>
      <c r="B11" s="14" t="s">
        <v>34</v>
      </c>
      <c r="C11" s="14">
        <v>4.520128</v>
      </c>
      <c r="D11" s="14">
        <v>837.450474</v>
      </c>
      <c r="E11" s="14">
        <v>60.394867</v>
      </c>
      <c r="F11" s="14">
        <v>7.690232</v>
      </c>
      <c r="G11" s="14">
        <v>1.366619</v>
      </c>
      <c r="H11" s="14">
        <v>7.337313</v>
      </c>
      <c r="I11" s="14">
        <v>1.0</v>
      </c>
      <c r="J11" s="14">
        <v>0.9327557432432432</v>
      </c>
      <c r="K11" s="14">
        <v>838.910133</v>
      </c>
      <c r="L11" s="14">
        <v>0.9327557432432432</v>
      </c>
      <c r="M11" s="13"/>
      <c r="N11" s="14">
        <v>0.0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33</v>
      </c>
      <c r="B12" s="14" t="s">
        <v>34</v>
      </c>
      <c r="C12" s="14">
        <v>4.520128</v>
      </c>
      <c r="D12" s="14">
        <v>26.479308</v>
      </c>
      <c r="E12" s="14">
        <v>61.440337</v>
      </c>
      <c r="F12" s="14">
        <v>0.50928</v>
      </c>
      <c r="G12" s="14">
        <v>1.641662</v>
      </c>
      <c r="H12" s="14">
        <v>6.517766999999999</v>
      </c>
      <c r="I12" s="14">
        <v>1.0</v>
      </c>
      <c r="J12" s="14">
        <v>0.9823706831831832</v>
      </c>
      <c r="K12" s="14">
        <v>28.217424</v>
      </c>
      <c r="L12" s="14">
        <v>0.9823706831831832</v>
      </c>
      <c r="M12" s="13"/>
      <c r="N12" s="14">
        <v>0.0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17</v>
      </c>
      <c r="B13" s="14" t="s">
        <v>34</v>
      </c>
      <c r="C13" s="14">
        <v>4.520128</v>
      </c>
      <c r="D13" s="14">
        <v>9505.280199</v>
      </c>
      <c r="E13" s="14">
        <v>739.533238</v>
      </c>
      <c r="F13" s="14">
        <v>179.965374</v>
      </c>
      <c r="G13" s="14">
        <v>298.244715</v>
      </c>
      <c r="H13" s="14">
        <v>10.729485</v>
      </c>
      <c r="I13" s="14">
        <v>1.0</v>
      </c>
      <c r="J13" s="14">
        <v>0.650246509009009</v>
      </c>
      <c r="K13" s="14">
        <v>9803.651491000002</v>
      </c>
      <c r="L13" s="14">
        <v>0.650246509009009</v>
      </c>
      <c r="M13" s="13"/>
      <c r="N13" s="14">
        <v>0.0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18</v>
      </c>
      <c r="B14" s="14" t="s">
        <v>34</v>
      </c>
      <c r="C14" s="14">
        <v>4.520128</v>
      </c>
      <c r="D14" s="14">
        <v>241.225633</v>
      </c>
      <c r="E14" s="14">
        <v>55.838295</v>
      </c>
      <c r="F14" s="14">
        <v>1.162262</v>
      </c>
      <c r="G14" s="14">
        <v>1.039758</v>
      </c>
      <c r="H14" s="14">
        <v>6.820806</v>
      </c>
      <c r="I14" s="14">
        <v>1.0</v>
      </c>
      <c r="J14" s="14">
        <v>0.9710813813813814</v>
      </c>
      <c r="K14" s="14">
        <v>242.361845</v>
      </c>
      <c r="L14" s="14">
        <v>0.9710813813813814</v>
      </c>
      <c r="M14" s="13"/>
      <c r="N14" s="14">
        <v>0.0</v>
      </c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19</v>
      </c>
      <c r="B15" s="14" t="s">
        <v>34</v>
      </c>
      <c r="C15" s="14">
        <v>4.520128</v>
      </c>
      <c r="D15" s="14">
        <v>0.197263</v>
      </c>
      <c r="E15" s="14">
        <v>23.048233</v>
      </c>
      <c r="F15" s="14">
        <v>1.284369</v>
      </c>
      <c r="G15" s="14">
        <v>0.068761</v>
      </c>
      <c r="H15" s="14">
        <v>7.382745</v>
      </c>
      <c r="I15" s="14">
        <v>1.0</v>
      </c>
      <c r="J15" s="14">
        <v>0.5028719594594594</v>
      </c>
      <c r="K15" s="14">
        <v>0.359064</v>
      </c>
      <c r="L15" s="14">
        <v>0.5028719594594594</v>
      </c>
      <c r="M15" s="13"/>
      <c r="N15" s="14">
        <v>0.0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13</v>
      </c>
      <c r="B16" s="14" t="s">
        <v>35</v>
      </c>
      <c r="C16" s="14">
        <v>98.165608</v>
      </c>
      <c r="D16" s="14">
        <v>31375.62006</v>
      </c>
      <c r="E16" s="14">
        <v>3571.092691</v>
      </c>
      <c r="F16" s="14">
        <v>73.792647</v>
      </c>
      <c r="G16" s="14">
        <v>24.365846</v>
      </c>
      <c r="H16" s="14">
        <v>36.804642</v>
      </c>
      <c r="I16" s="14">
        <v>1.0</v>
      </c>
      <c r="J16" s="14">
        <v>0.8917433463526065</v>
      </c>
      <c r="K16" s="14">
        <v>31400.071513</v>
      </c>
      <c r="L16" s="14">
        <v>0.8917433463526065</v>
      </c>
      <c r="M16" s="13"/>
      <c r="N16" s="14">
        <v>1.0</v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14</v>
      </c>
      <c r="B17" s="14" t="s">
        <v>35</v>
      </c>
      <c r="C17" s="14">
        <v>98.165608</v>
      </c>
      <c r="D17" s="14">
        <v>16.89438</v>
      </c>
      <c r="E17" s="14">
        <v>469.510454</v>
      </c>
      <c r="F17" s="14">
        <v>62.32306</v>
      </c>
      <c r="G17" s="14">
        <v>1.447853</v>
      </c>
      <c r="H17" s="14">
        <v>38.151378</v>
      </c>
      <c r="I17" s="14">
        <v>0.7735849056603774</v>
      </c>
      <c r="J17" s="14">
        <v>0.8904325424024491</v>
      </c>
      <c r="K17" s="14">
        <v>18.438687</v>
      </c>
      <c r="L17" s="14">
        <v>0.8904325424024491</v>
      </c>
      <c r="M17" s="13"/>
      <c r="N17" s="14">
        <v>1.0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16</v>
      </c>
      <c r="B18" s="14" t="s">
        <v>35</v>
      </c>
      <c r="C18" s="14">
        <v>98.165608</v>
      </c>
      <c r="D18" s="14">
        <v>35100.357146</v>
      </c>
      <c r="E18" s="14">
        <v>3619.113897</v>
      </c>
      <c r="F18" s="14">
        <v>73.897234</v>
      </c>
      <c r="G18" s="14">
        <v>30.034143</v>
      </c>
      <c r="H18" s="14">
        <v>38.484587</v>
      </c>
      <c r="I18" s="14">
        <v>1.0</v>
      </c>
      <c r="J18" s="14">
        <v>0.8950924266415228</v>
      </c>
      <c r="K18" s="14">
        <v>35130.484329</v>
      </c>
      <c r="L18" s="14">
        <v>0.8950924266415228</v>
      </c>
      <c r="M18" s="13"/>
      <c r="N18" s="14">
        <v>1.0</v>
      </c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33</v>
      </c>
      <c r="B19" s="14" t="s">
        <v>35</v>
      </c>
      <c r="C19" s="14">
        <v>98.165608</v>
      </c>
      <c r="D19" s="14">
        <v>303.052488</v>
      </c>
      <c r="E19" s="14">
        <v>1009.325472</v>
      </c>
      <c r="F19" s="14">
        <v>0.59352</v>
      </c>
      <c r="G19" s="14">
        <v>22.458755</v>
      </c>
      <c r="H19" s="14">
        <v>36.044486</v>
      </c>
      <c r="I19" s="14">
        <v>1.0</v>
      </c>
      <c r="J19" s="14">
        <v>0.8838140378970414</v>
      </c>
      <c r="K19" s="14">
        <v>325.607697</v>
      </c>
      <c r="L19" s="14">
        <v>0.8838140378970414</v>
      </c>
      <c r="M19" s="13"/>
      <c r="N19" s="14">
        <v>0.0</v>
      </c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17</v>
      </c>
      <c r="B20" s="14" t="s">
        <v>35</v>
      </c>
      <c r="C20" s="14">
        <v>98.165608</v>
      </c>
      <c r="D20" s="14">
        <v>227288.393298</v>
      </c>
      <c r="E20" s="14">
        <v>7515.967993</v>
      </c>
      <c r="F20" s="14">
        <v>181.749781</v>
      </c>
      <c r="G20" s="14">
        <v>6492.720072</v>
      </c>
      <c r="H20" s="14">
        <v>68.701045</v>
      </c>
      <c r="I20" s="14">
        <v>0.9999992257970928</v>
      </c>
      <c r="J20" s="14">
        <v>0.9673627160542336</v>
      </c>
      <c r="K20" s="14">
        <v>233781.239947</v>
      </c>
      <c r="L20" s="14">
        <v>0.9673627160542336</v>
      </c>
      <c r="M20" s="13"/>
      <c r="N20" s="14">
        <v>1.0</v>
      </c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14" t="s">
        <v>18</v>
      </c>
      <c r="B21" s="14" t="s">
        <v>35</v>
      </c>
      <c r="C21" s="14">
        <v>98.165608</v>
      </c>
      <c r="D21" s="14">
        <v>8432.00158</v>
      </c>
      <c r="E21" s="14">
        <v>3571.078449</v>
      </c>
      <c r="F21" s="14">
        <v>5.653913</v>
      </c>
      <c r="G21" s="14">
        <v>15.107103</v>
      </c>
      <c r="H21" s="14">
        <v>39.068471</v>
      </c>
      <c r="I21" s="14">
        <v>1.0</v>
      </c>
      <c r="J21" s="14">
        <v>0.9246186802955896</v>
      </c>
      <c r="K21" s="14">
        <v>8447.205137</v>
      </c>
      <c r="L21" s="14">
        <v>0.9246186802955896</v>
      </c>
      <c r="M21" s="13"/>
      <c r="N21" s="14">
        <v>1.0</v>
      </c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14" t="s">
        <v>19</v>
      </c>
      <c r="B22" s="14" t="s">
        <v>35</v>
      </c>
      <c r="C22" s="14">
        <v>98.165608</v>
      </c>
      <c r="D22" s="14">
        <v>1.022097</v>
      </c>
      <c r="E22" s="14">
        <v>469.460648</v>
      </c>
      <c r="F22" s="14">
        <v>62.31429</v>
      </c>
      <c r="G22" s="14">
        <v>0.82297</v>
      </c>
      <c r="H22" s="14">
        <v>37.560152</v>
      </c>
      <c r="I22" s="14">
        <v>1.0</v>
      </c>
      <c r="J22" s="14">
        <v>0.3421072502782654</v>
      </c>
      <c r="K22" s="14">
        <v>1.938107</v>
      </c>
      <c r="L22" s="14">
        <v>0.3421072502782654</v>
      </c>
      <c r="M22" s="13"/>
      <c r="N22" s="14">
        <v>0.0</v>
      </c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14" t="s">
        <v>13</v>
      </c>
      <c r="B23" s="14" t="s">
        <v>36</v>
      </c>
      <c r="C23" s="14">
        <v>3.200128</v>
      </c>
      <c r="D23" s="14">
        <v>565.250703</v>
      </c>
      <c r="E23" s="14">
        <v>32.675285</v>
      </c>
      <c r="F23" s="14">
        <v>4.450411</v>
      </c>
      <c r="G23" s="14">
        <v>0.653796</v>
      </c>
      <c r="H23" s="14">
        <v>2.429074</v>
      </c>
      <c r="I23" s="14">
        <v>1.0</v>
      </c>
      <c r="J23" s="14">
        <v>0.9134126746283076</v>
      </c>
      <c r="K23" s="14">
        <v>565.9901060000001</v>
      </c>
      <c r="L23" s="14">
        <v>0.9134126746283076</v>
      </c>
      <c r="M23" s="13"/>
      <c r="N23" s="14">
        <v>0.0</v>
      </c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14" t="s">
        <v>14</v>
      </c>
      <c r="B24" s="14" t="s">
        <v>36</v>
      </c>
      <c r="C24" s="14">
        <v>3.200128</v>
      </c>
      <c r="D24" s="14">
        <v>0.134383</v>
      </c>
      <c r="E24" s="14">
        <v>16.580365</v>
      </c>
      <c r="F24" s="14">
        <v>0.861281</v>
      </c>
      <c r="G24" s="14">
        <v>0.036763</v>
      </c>
      <c r="H24" s="14">
        <v>2.405452</v>
      </c>
      <c r="I24" s="14">
        <v>1.0</v>
      </c>
      <c r="J24" s="14">
        <v>0.9616220484483706</v>
      </c>
      <c r="K24" s="14">
        <v>0.2676</v>
      </c>
      <c r="L24" s="14">
        <v>0.9616220484483706</v>
      </c>
      <c r="M24" s="13"/>
      <c r="N24" s="14">
        <v>0.0</v>
      </c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14" t="s">
        <v>16</v>
      </c>
      <c r="B25" s="14" t="s">
        <v>36</v>
      </c>
      <c r="C25" s="14">
        <v>3.200128</v>
      </c>
      <c r="D25" s="14">
        <v>592.144073</v>
      </c>
      <c r="E25" s="14">
        <v>35.885563</v>
      </c>
      <c r="F25" s="14">
        <v>4.450797</v>
      </c>
      <c r="G25" s="14">
        <v>0.698545</v>
      </c>
      <c r="H25" s="14">
        <v>2.450691</v>
      </c>
      <c r="I25" s="14">
        <v>1.0</v>
      </c>
      <c r="J25" s="14">
        <v>0.9183582837019062</v>
      </c>
      <c r="K25" s="14">
        <v>592.935658</v>
      </c>
      <c r="L25" s="14">
        <v>0.9183582837019062</v>
      </c>
      <c r="M25" s="13"/>
      <c r="N25" s="14">
        <v>0.0</v>
      </c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14" t="s">
        <v>33</v>
      </c>
      <c r="B26" s="14" t="s">
        <v>36</v>
      </c>
      <c r="C26" s="14">
        <v>3.200128</v>
      </c>
      <c r="D26" s="14">
        <v>13.921016</v>
      </c>
      <c r="E26" s="14">
        <v>33.339351</v>
      </c>
      <c r="F26" s="14">
        <v>0.308899</v>
      </c>
      <c r="G26" s="14">
        <v>0.837115</v>
      </c>
      <c r="H26" s="14">
        <v>2.388323</v>
      </c>
      <c r="I26" s="14">
        <v>1.0</v>
      </c>
      <c r="J26" s="14">
        <v>0.9672384890746114</v>
      </c>
      <c r="K26" s="14">
        <v>14.854585</v>
      </c>
      <c r="L26" s="14">
        <v>0.9672384890746114</v>
      </c>
      <c r="M26" s="13"/>
      <c r="N26" s="14">
        <v>0.0</v>
      </c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14" t="s">
        <v>17</v>
      </c>
      <c r="B27" s="14" t="s">
        <v>36</v>
      </c>
      <c r="C27" s="14">
        <v>3.200128</v>
      </c>
      <c r="D27" s="14">
        <v>5317.345441</v>
      </c>
      <c r="E27" s="14">
        <v>728.979399</v>
      </c>
      <c r="F27" s="14">
        <v>179.823617</v>
      </c>
      <c r="G27" s="14">
        <v>128.305042</v>
      </c>
      <c r="H27" s="14">
        <v>2.635229</v>
      </c>
      <c r="I27" s="14">
        <v>1.0</v>
      </c>
      <c r="J27" s="14">
        <v>0.9608767019102408</v>
      </c>
      <c r="K27" s="14">
        <v>5445.77706</v>
      </c>
      <c r="L27" s="14">
        <v>0.9608767019102408</v>
      </c>
      <c r="M27" s="13"/>
      <c r="N27" s="14">
        <v>0.0</v>
      </c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14" t="s">
        <v>18</v>
      </c>
      <c r="B28" s="14" t="s">
        <v>36</v>
      </c>
      <c r="C28" s="14">
        <v>3.200128</v>
      </c>
      <c r="D28" s="14">
        <v>228.340024</v>
      </c>
      <c r="E28" s="14">
        <v>32.666469</v>
      </c>
      <c r="F28" s="14">
        <v>0.860396</v>
      </c>
      <c r="G28" s="14">
        <v>0.508127</v>
      </c>
      <c r="H28" s="14">
        <v>2.586814</v>
      </c>
      <c r="I28" s="14">
        <v>1.0</v>
      </c>
      <c r="J28" s="14">
        <v>0.966382994647634</v>
      </c>
      <c r="K28" s="14">
        <v>228.944605</v>
      </c>
      <c r="L28" s="14">
        <v>0.966382994647634</v>
      </c>
      <c r="M28" s="13"/>
      <c r="N28" s="14">
        <v>0.0</v>
      </c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14" t="s">
        <v>19</v>
      </c>
      <c r="B29" s="14" t="s">
        <v>36</v>
      </c>
      <c r="C29" s="14">
        <v>3.200128</v>
      </c>
      <c r="D29" s="14">
        <v>0.114604</v>
      </c>
      <c r="E29" s="14">
        <v>16.581683</v>
      </c>
      <c r="F29" s="14">
        <v>0.861279</v>
      </c>
      <c r="G29" s="14">
        <v>0.04393</v>
      </c>
      <c r="H29" s="14">
        <v>2.47213</v>
      </c>
      <c r="I29" s="14">
        <v>1.0</v>
      </c>
      <c r="J29" s="14">
        <v>0.6796150350920223</v>
      </c>
      <c r="K29" s="14">
        <v>0.2515739999999999</v>
      </c>
      <c r="L29" s="14">
        <v>0.6796150350920223</v>
      </c>
      <c r="M29" s="13"/>
      <c r="N29" s="14">
        <v>0.0</v>
      </c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14" t="s">
        <v>13</v>
      </c>
      <c r="B30" s="14" t="s">
        <v>37</v>
      </c>
      <c r="C30" s="14">
        <v>255.645408</v>
      </c>
      <c r="D30" s="14">
        <v>37605.168857</v>
      </c>
      <c r="E30" s="14">
        <v>3483.217286</v>
      </c>
      <c r="F30" s="14">
        <v>7.503558</v>
      </c>
      <c r="G30" s="14">
        <v>41.46027</v>
      </c>
      <c r="H30" s="14">
        <v>70.167372</v>
      </c>
      <c r="I30" s="14">
        <v>1.0</v>
      </c>
      <c r="J30" s="14">
        <v>0.9394723406119616</v>
      </c>
      <c r="K30" s="14">
        <v>37646.714734</v>
      </c>
      <c r="L30" s="14">
        <v>0.9394723406119616</v>
      </c>
      <c r="M30" s="13"/>
      <c r="N30" s="14">
        <v>1.0</v>
      </c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14" t="s">
        <v>14</v>
      </c>
      <c r="B31" s="14" t="s">
        <v>37</v>
      </c>
      <c r="C31" s="14">
        <v>255.645408</v>
      </c>
      <c r="D31" s="14">
        <v>63.978461</v>
      </c>
      <c r="E31" s="14">
        <v>1287.916734</v>
      </c>
      <c r="F31" s="14">
        <v>255.674609</v>
      </c>
      <c r="G31" s="14">
        <v>2.025864</v>
      </c>
      <c r="H31" s="14">
        <v>3545.753954</v>
      </c>
      <c r="I31" s="14">
        <v>0.4926677934362801</v>
      </c>
      <c r="J31" s="14">
        <v>0.7119839166783202</v>
      </c>
      <c r="K31" s="14">
        <v>66.100779</v>
      </c>
      <c r="L31" s="14">
        <v>0.7119839166783202</v>
      </c>
      <c r="M31" s="13"/>
      <c r="N31" s="14">
        <v>1.0</v>
      </c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14" t="s">
        <v>16</v>
      </c>
      <c r="B32" s="14" t="s">
        <v>37</v>
      </c>
      <c r="C32" s="14">
        <v>255.645408</v>
      </c>
      <c r="D32" s="14">
        <v>41673.219151</v>
      </c>
      <c r="E32" s="14">
        <v>3739.379372</v>
      </c>
      <c r="F32" s="14">
        <v>8.101586</v>
      </c>
      <c r="G32" s="14">
        <v>124.32563</v>
      </c>
      <c r="H32" s="14">
        <v>63.095963</v>
      </c>
      <c r="I32" s="14">
        <v>1.0</v>
      </c>
      <c r="J32" s="14">
        <v>0.6770263533307948</v>
      </c>
      <c r="K32" s="14">
        <v>41797.637821</v>
      </c>
      <c r="L32" s="14">
        <v>0.6770263533307948</v>
      </c>
      <c r="M32" s="13"/>
      <c r="N32" s="14">
        <v>1.0</v>
      </c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14" t="s">
        <v>33</v>
      </c>
      <c r="B33" s="14" t="s">
        <v>37</v>
      </c>
      <c r="C33" s="14">
        <v>255.645408</v>
      </c>
      <c r="D33" s="14">
        <v>356.974757</v>
      </c>
      <c r="E33" s="14">
        <v>2625.832227</v>
      </c>
      <c r="F33" s="14">
        <v>0.730721</v>
      </c>
      <c r="G33" s="14">
        <v>67.203303</v>
      </c>
      <c r="H33" s="14">
        <v>57.472779</v>
      </c>
      <c r="I33" s="14">
        <v>1.0</v>
      </c>
      <c r="J33" s="14">
        <v>0.5949965676182887</v>
      </c>
      <c r="K33" s="14">
        <v>424.274514</v>
      </c>
      <c r="L33" s="14">
        <v>0.5949965676182887</v>
      </c>
      <c r="M33" s="13"/>
      <c r="N33" s="14">
        <v>0.0</v>
      </c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14" t="s">
        <v>17</v>
      </c>
      <c r="B34" s="14" t="s">
        <v>37</v>
      </c>
      <c r="C34" s="13"/>
      <c r="D34" s="13"/>
      <c r="E34" s="13"/>
      <c r="F34" s="13"/>
      <c r="G34" s="13"/>
      <c r="H34" s="13"/>
      <c r="I34" s="13"/>
      <c r="J34" s="13"/>
      <c r="K34" s="14">
        <v>345600.16938</v>
      </c>
      <c r="L34" s="14">
        <v>0.4327190605461791</v>
      </c>
      <c r="M34" s="14" t="s">
        <v>64</v>
      </c>
      <c r="N34" s="14">
        <v>0.0</v>
      </c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14" t="s">
        <v>18</v>
      </c>
      <c r="B35" s="14" t="s">
        <v>37</v>
      </c>
      <c r="C35" s="14">
        <v>255.645408</v>
      </c>
      <c r="D35" s="14">
        <v>22034.191841</v>
      </c>
      <c r="E35" s="14">
        <v>3483.249491</v>
      </c>
      <c r="F35" s="14">
        <v>10.321296</v>
      </c>
      <c r="G35" s="14">
        <v>33.784403</v>
      </c>
      <c r="H35" s="14">
        <v>68.935255</v>
      </c>
      <c r="I35" s="14">
        <v>1.0</v>
      </c>
      <c r="J35" s="14">
        <v>0.8740335147876813</v>
      </c>
      <c r="K35" s="14">
        <v>22068.072698</v>
      </c>
      <c r="L35" s="14">
        <v>0.8740335147876813</v>
      </c>
      <c r="M35" s="13"/>
      <c r="N35" s="14">
        <v>1.0</v>
      </c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14" t="s">
        <v>19</v>
      </c>
      <c r="B36" s="14" t="s">
        <v>37</v>
      </c>
      <c r="C36" s="14">
        <v>255.645408</v>
      </c>
      <c r="D36" s="14">
        <v>0.912624</v>
      </c>
      <c r="E36" s="14">
        <v>1287.762906</v>
      </c>
      <c r="F36" s="14">
        <v>255.648398</v>
      </c>
      <c r="G36" s="14">
        <v>0.556071</v>
      </c>
      <c r="H36" s="14">
        <v>91.702234</v>
      </c>
      <c r="I36" s="14">
        <v>1.0</v>
      </c>
      <c r="J36" s="14">
        <v>0.7522222886049442</v>
      </c>
      <c r="K36" s="14">
        <v>1.561735</v>
      </c>
      <c r="L36" s="14">
        <v>0.7522222886049442</v>
      </c>
      <c r="M36" s="13"/>
      <c r="N36" s="14">
        <v>1.0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14" t="s">
        <v>13</v>
      </c>
      <c r="B37" s="14" t="s">
        <v>38</v>
      </c>
      <c r="C37" s="14">
        <v>0.200128</v>
      </c>
      <c r="D37" s="14">
        <v>67.135786</v>
      </c>
      <c r="E37" s="14">
        <v>16.131599</v>
      </c>
      <c r="F37" s="14">
        <v>5.425238</v>
      </c>
      <c r="G37" s="14">
        <v>1.090222</v>
      </c>
      <c r="H37" s="14">
        <v>1.131901</v>
      </c>
      <c r="I37" s="14">
        <v>1.0</v>
      </c>
      <c r="J37" s="14">
        <v>0.7277636636212537</v>
      </c>
      <c r="K37" s="14">
        <v>68.31161499999999</v>
      </c>
      <c r="L37" s="14">
        <v>0.7277636636212537</v>
      </c>
      <c r="M37" s="13"/>
      <c r="N37" s="14">
        <v>0.0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14" t="s">
        <v>14</v>
      </c>
      <c r="B38" s="14" t="s">
        <v>38</v>
      </c>
      <c r="C38" s="14">
        <v>0.200128</v>
      </c>
      <c r="D38" s="14">
        <v>0.591674</v>
      </c>
      <c r="E38" s="14">
        <v>1.17258</v>
      </c>
      <c r="F38" s="14">
        <v>0.248243</v>
      </c>
      <c r="G38" s="14">
        <v>0.043689</v>
      </c>
      <c r="H38" s="14">
        <v>1.968176</v>
      </c>
      <c r="I38" s="14">
        <v>0.2804755555555556</v>
      </c>
      <c r="J38" s="14">
        <v>0.2547337903754547</v>
      </c>
      <c r="K38" s="14">
        <v>0.731817</v>
      </c>
      <c r="L38" s="14">
        <v>0.2547337903754547</v>
      </c>
      <c r="M38" s="13"/>
      <c r="N38" s="14">
        <v>0.0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14" t="s">
        <v>16</v>
      </c>
      <c r="B39" s="14" t="s">
        <v>38</v>
      </c>
      <c r="C39" s="14">
        <v>0.200128</v>
      </c>
      <c r="D39" s="14">
        <v>76.304379</v>
      </c>
      <c r="E39" s="14">
        <v>16.493412</v>
      </c>
      <c r="F39" s="14">
        <v>5.497036</v>
      </c>
      <c r="G39" s="14">
        <v>1.277604</v>
      </c>
      <c r="H39" s="14">
        <v>1.320459</v>
      </c>
      <c r="I39" s="14">
        <v>1.0</v>
      </c>
      <c r="J39" s="14">
        <v>0.688067442373148</v>
      </c>
      <c r="K39" s="14">
        <v>77.675023</v>
      </c>
      <c r="L39" s="14">
        <v>0.688067442373148</v>
      </c>
      <c r="M39" s="13"/>
      <c r="N39" s="14">
        <v>0.0</v>
      </c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14" t="s">
        <v>33</v>
      </c>
      <c r="B40" s="14" t="s">
        <v>38</v>
      </c>
      <c r="C40" s="14">
        <v>0.200128</v>
      </c>
      <c r="D40" s="14">
        <v>4.612326</v>
      </c>
      <c r="E40" s="14">
        <v>2.902689</v>
      </c>
      <c r="F40" s="14">
        <v>0.409543</v>
      </c>
      <c r="G40" s="14">
        <v>1.158991</v>
      </c>
      <c r="H40" s="14">
        <v>1.329974</v>
      </c>
      <c r="I40" s="14">
        <v>1.0</v>
      </c>
      <c r="J40" s="14">
        <v>0.7692935499906738</v>
      </c>
      <c r="K40" s="14">
        <v>5.867771</v>
      </c>
      <c r="L40" s="14">
        <v>0.7692935499906738</v>
      </c>
      <c r="M40" s="13"/>
      <c r="N40" s="14">
        <v>0.0</v>
      </c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14" t="s">
        <v>17</v>
      </c>
      <c r="B41" s="14" t="s">
        <v>38</v>
      </c>
      <c r="C41" s="14">
        <v>0.200128</v>
      </c>
      <c r="D41" s="13"/>
      <c r="E41" s="13"/>
      <c r="F41" s="13"/>
      <c r="G41" s="13"/>
      <c r="H41" s="13"/>
      <c r="I41" s="13"/>
      <c r="J41" s="13"/>
      <c r="K41" s="14">
        <v>0.16938</v>
      </c>
      <c r="L41" s="14">
        <v>0.4327190605461791</v>
      </c>
      <c r="M41" s="14" t="s">
        <v>65</v>
      </c>
      <c r="N41" s="14">
        <v>0.0</v>
      </c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14" t="s">
        <v>18</v>
      </c>
      <c r="B42" s="14" t="s">
        <v>38</v>
      </c>
      <c r="C42" s="14">
        <v>0.200128</v>
      </c>
      <c r="D42" s="14">
        <v>21.485044</v>
      </c>
      <c r="E42" s="14">
        <v>15.841583</v>
      </c>
      <c r="F42" s="14">
        <v>1.099662</v>
      </c>
      <c r="G42" s="14">
        <v>1.179798</v>
      </c>
      <c r="H42" s="14">
        <v>1.412561</v>
      </c>
      <c r="I42" s="14">
        <v>1.0</v>
      </c>
      <c r="J42" s="14">
        <v>0.6830791064779985</v>
      </c>
      <c r="K42" s="14">
        <v>22.761296</v>
      </c>
      <c r="L42" s="14">
        <v>0.6830791064779985</v>
      </c>
      <c r="M42" s="13"/>
      <c r="N42" s="14">
        <v>0.0</v>
      </c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14" t="s">
        <v>19</v>
      </c>
      <c r="B43" s="14" t="s">
        <v>38</v>
      </c>
      <c r="C43" s="14">
        <v>0.200128</v>
      </c>
      <c r="D43" s="14">
        <v>0.201114</v>
      </c>
      <c r="E43" s="14">
        <v>1.089446</v>
      </c>
      <c r="F43" s="14">
        <v>0.233523</v>
      </c>
      <c r="G43" s="14">
        <v>0.026318</v>
      </c>
      <c r="H43" s="14">
        <v>1.477939</v>
      </c>
      <c r="I43" s="14">
        <v>0.83318</v>
      </c>
      <c r="J43" s="14">
        <v>0.3081455830544811</v>
      </c>
      <c r="K43" s="14">
        <v>0.320472</v>
      </c>
      <c r="L43" s="14">
        <v>0.3081455830544811</v>
      </c>
      <c r="M43" s="13"/>
      <c r="N43" s="14">
        <v>0.0</v>
      </c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14" t="s">
        <v>13</v>
      </c>
      <c r="B44" s="14" t="s">
        <v>39</v>
      </c>
      <c r="C44" s="14">
        <v>3.340128</v>
      </c>
      <c r="D44" s="14">
        <v>647.170019</v>
      </c>
      <c r="E44" s="14">
        <v>46.784945</v>
      </c>
      <c r="F44" s="14">
        <v>5.836073</v>
      </c>
      <c r="G44" s="14">
        <v>0.954437</v>
      </c>
      <c r="H44" s="14">
        <v>3.839915</v>
      </c>
      <c r="I44" s="14">
        <v>1.0</v>
      </c>
      <c r="J44" s="14">
        <v>0.8893053288551896</v>
      </c>
      <c r="K44" s="14">
        <v>648.210063</v>
      </c>
      <c r="L44" s="14">
        <v>0.8893053288551896</v>
      </c>
      <c r="M44" s="13"/>
      <c r="N44" s="14">
        <v>0.0</v>
      </c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14" t="s">
        <v>14</v>
      </c>
      <c r="B45" s="14" t="s">
        <v>39</v>
      </c>
      <c r="C45" s="14">
        <v>3.340128</v>
      </c>
      <c r="D45" s="14">
        <v>3.953037</v>
      </c>
      <c r="E45" s="14">
        <v>21.913789</v>
      </c>
      <c r="F45" s="14">
        <v>3.325297</v>
      </c>
      <c r="G45" s="14">
        <v>0.219441</v>
      </c>
      <c r="H45" s="14">
        <v>4.316503</v>
      </c>
      <c r="I45" s="14">
        <v>1.0</v>
      </c>
      <c r="J45" s="14">
        <v>0.9635775476729256</v>
      </c>
      <c r="K45" s="14">
        <v>4.268932</v>
      </c>
      <c r="L45" s="14">
        <v>0.9635775476729256</v>
      </c>
      <c r="M45" s="13"/>
      <c r="N45" s="14">
        <v>0.0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14" t="s">
        <v>16</v>
      </c>
      <c r="B46" s="14" t="s">
        <v>39</v>
      </c>
      <c r="C46" s="14">
        <v>3.340128</v>
      </c>
      <c r="D46" s="14">
        <v>737.625689</v>
      </c>
      <c r="E46" s="14">
        <v>50.140866</v>
      </c>
      <c r="F46" s="14">
        <v>5.836663</v>
      </c>
      <c r="G46" s="14">
        <v>1.03355</v>
      </c>
      <c r="H46" s="14">
        <v>4.12504</v>
      </c>
      <c r="I46" s="14">
        <v>1.0</v>
      </c>
      <c r="J46" s="14">
        <v>0.8928150974699796</v>
      </c>
      <c r="K46" s="14">
        <v>738.7522789999999</v>
      </c>
      <c r="L46" s="14">
        <v>0.8928150974699796</v>
      </c>
      <c r="M46" s="13"/>
      <c r="N46" s="14">
        <v>0.0</v>
      </c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14" t="s">
        <v>33</v>
      </c>
      <c r="B47" s="14" t="s">
        <v>39</v>
      </c>
      <c r="C47" s="14">
        <v>3.340128</v>
      </c>
      <c r="D47" s="14">
        <v>20.60567</v>
      </c>
      <c r="E47" s="14">
        <v>44.91416</v>
      </c>
      <c r="F47" s="14">
        <v>0.39043</v>
      </c>
      <c r="G47" s="14">
        <v>1.239622</v>
      </c>
      <c r="H47" s="14">
        <v>4.28883</v>
      </c>
      <c r="I47" s="14">
        <v>1.0</v>
      </c>
      <c r="J47" s="14">
        <v>0.9706317984770574</v>
      </c>
      <c r="K47" s="14">
        <v>21.941746</v>
      </c>
      <c r="L47" s="14">
        <v>0.9706317984770574</v>
      </c>
      <c r="M47" s="13"/>
      <c r="N47" s="14">
        <v>0.0</v>
      </c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14" t="s">
        <v>17</v>
      </c>
      <c r="B48" s="14" t="s">
        <v>39</v>
      </c>
      <c r="C48" s="14">
        <v>3.340128</v>
      </c>
      <c r="D48" s="13"/>
      <c r="E48" s="13"/>
      <c r="F48" s="13"/>
      <c r="G48" s="13"/>
      <c r="H48" s="13"/>
      <c r="I48" s="13"/>
      <c r="J48" s="13"/>
      <c r="K48" s="14">
        <v>0.16938</v>
      </c>
      <c r="L48" s="14">
        <v>0.4327190605461791</v>
      </c>
      <c r="M48" s="14" t="s">
        <v>66</v>
      </c>
      <c r="N48" s="14">
        <v>0.0</v>
      </c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14" t="s">
        <v>18</v>
      </c>
      <c r="B49" s="14" t="s">
        <v>39</v>
      </c>
      <c r="C49" s="14">
        <v>3.340128</v>
      </c>
      <c r="D49" s="14">
        <v>242.152443</v>
      </c>
      <c r="E49" s="14">
        <v>46.776314</v>
      </c>
      <c r="F49" s="14">
        <v>0.98873</v>
      </c>
      <c r="G49" s="14">
        <v>0.78154</v>
      </c>
      <c r="H49" s="14">
        <v>4.205488</v>
      </c>
      <c r="I49" s="14">
        <v>1.0</v>
      </c>
      <c r="J49" s="14">
        <v>0.9426108485093968</v>
      </c>
      <c r="K49" s="14">
        <v>243.030437</v>
      </c>
      <c r="L49" s="14">
        <v>0.9426108485093968</v>
      </c>
      <c r="M49" s="13"/>
      <c r="N49" s="14">
        <v>0.0</v>
      </c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14" t="s">
        <v>19</v>
      </c>
      <c r="B50" s="14" t="s">
        <v>39</v>
      </c>
      <c r="C50" s="14">
        <v>3.340128</v>
      </c>
      <c r="D50" s="14">
        <v>0.15322</v>
      </c>
      <c r="E50" s="14">
        <v>17.174909</v>
      </c>
      <c r="F50" s="14">
        <v>1.147901</v>
      </c>
      <c r="G50" s="14">
        <v>0.047918</v>
      </c>
      <c r="H50" s="14">
        <v>4.162648</v>
      </c>
      <c r="I50" s="14">
        <v>1.0</v>
      </c>
      <c r="J50" s="14">
        <v>0.6071406280310321</v>
      </c>
      <c r="K50" s="14">
        <v>0.294178</v>
      </c>
      <c r="L50" s="14">
        <v>0.6071406280310321</v>
      </c>
      <c r="M50" s="13"/>
      <c r="N50" s="14">
        <v>0.0</v>
      </c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14" t="s">
        <v>13</v>
      </c>
      <c r="B51" s="14" t="s">
        <v>40</v>
      </c>
      <c r="C51" s="14">
        <v>162.039016</v>
      </c>
      <c r="D51" s="14">
        <v>28898.13799</v>
      </c>
      <c r="E51" s="14">
        <v>2657.258587</v>
      </c>
      <c r="F51" s="14">
        <v>18.39525</v>
      </c>
      <c r="G51" s="14">
        <v>40.555392</v>
      </c>
      <c r="H51" s="14">
        <v>31.342154</v>
      </c>
      <c r="I51" s="14">
        <v>1.0</v>
      </c>
      <c r="J51" s="14">
        <v>0.7785440059397333</v>
      </c>
      <c r="K51" s="14">
        <v>28938.778989</v>
      </c>
      <c r="L51" s="14">
        <v>0.7785440059397333</v>
      </c>
      <c r="M51" s="13"/>
      <c r="N51" s="14">
        <v>1.0</v>
      </c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14" t="s">
        <v>14</v>
      </c>
      <c r="B52" s="14" t="s">
        <v>40</v>
      </c>
      <c r="C52" s="14">
        <v>162.039016</v>
      </c>
      <c r="D52" s="14">
        <v>52.368318</v>
      </c>
      <c r="E52" s="14">
        <v>790.716231</v>
      </c>
      <c r="F52" s="14">
        <v>150.213119</v>
      </c>
      <c r="G52" s="14">
        <v>1.351121</v>
      </c>
      <c r="H52" s="14">
        <v>61.066244</v>
      </c>
      <c r="I52" s="14">
        <v>0.5256410256410257</v>
      </c>
      <c r="J52" s="14">
        <v>0.7525605721928388</v>
      </c>
      <c r="K52" s="14">
        <v>53.815893</v>
      </c>
      <c r="L52" s="14">
        <v>0.7525605721928388</v>
      </c>
      <c r="M52" s="13"/>
      <c r="N52" s="14">
        <v>1.0</v>
      </c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14" t="s">
        <v>16</v>
      </c>
      <c r="B53" s="14" t="s">
        <v>40</v>
      </c>
      <c r="C53" s="14">
        <v>162.039016</v>
      </c>
      <c r="D53" s="14">
        <v>31968.016514</v>
      </c>
      <c r="E53" s="14">
        <v>2961.941766</v>
      </c>
      <c r="F53" s="14">
        <v>18.839693</v>
      </c>
      <c r="G53" s="14">
        <v>71.912125</v>
      </c>
      <c r="H53" s="14">
        <v>31.500132</v>
      </c>
      <c r="I53" s="14">
        <v>1.0</v>
      </c>
      <c r="J53" s="14">
        <v>0.6134405565161739</v>
      </c>
      <c r="K53" s="14">
        <v>32040.021679</v>
      </c>
      <c r="L53" s="14">
        <v>0.6134405565161739</v>
      </c>
      <c r="M53" s="13"/>
      <c r="N53" s="14">
        <v>0.0</v>
      </c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14" t="s">
        <v>33</v>
      </c>
      <c r="B54" s="14" t="s">
        <v>40</v>
      </c>
      <c r="C54" s="14">
        <v>162.039016</v>
      </c>
      <c r="D54" s="14">
        <v>275.110515</v>
      </c>
      <c r="E54" s="14">
        <v>1665.521595</v>
      </c>
      <c r="F54" s="14">
        <v>0.56814</v>
      </c>
      <c r="G54" s="14">
        <v>36.42912</v>
      </c>
      <c r="H54" s="14">
        <v>35.550133</v>
      </c>
      <c r="I54" s="14">
        <v>1.0</v>
      </c>
      <c r="J54" s="14">
        <v>0.6895985295744658</v>
      </c>
      <c r="K54" s="14">
        <v>311.636089</v>
      </c>
      <c r="L54" s="14">
        <v>0.6895985295744658</v>
      </c>
      <c r="M54" s="13"/>
      <c r="N54" s="14">
        <v>0.0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4" t="s">
        <v>17</v>
      </c>
      <c r="B55" s="14" t="s">
        <v>40</v>
      </c>
      <c r="C55" s="14">
        <v>162.039016</v>
      </c>
      <c r="D55" s="13"/>
      <c r="E55" s="13"/>
      <c r="F55" s="13"/>
      <c r="G55" s="13"/>
      <c r="H55" s="13"/>
      <c r="I55" s="13"/>
      <c r="J55" s="13"/>
      <c r="K55" s="14">
        <v>0.16938</v>
      </c>
      <c r="L55" s="14">
        <v>0.4327190605461791</v>
      </c>
      <c r="M55" s="14" t="s">
        <v>69</v>
      </c>
      <c r="N55" s="14">
        <v>0.0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14" t="s">
        <v>18</v>
      </c>
      <c r="B56" s="14" t="s">
        <v>40</v>
      </c>
      <c r="C56" s="14">
        <v>162.039016</v>
      </c>
      <c r="D56" s="14">
        <v>15769.316998</v>
      </c>
      <c r="E56" s="14">
        <v>2657.252715</v>
      </c>
      <c r="F56" s="14">
        <v>8.612147</v>
      </c>
      <c r="G56" s="14">
        <v>35.758214</v>
      </c>
      <c r="H56" s="14">
        <v>38.353625</v>
      </c>
      <c r="I56" s="14">
        <v>1.0</v>
      </c>
      <c r="J56" s="14">
        <v>0.8495779891214099</v>
      </c>
      <c r="K56" s="14">
        <v>15805.171666</v>
      </c>
      <c r="L56" s="14">
        <v>0.8495779891214099</v>
      </c>
      <c r="M56" s="13"/>
      <c r="N56" s="14">
        <v>1.0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14" t="s">
        <v>19</v>
      </c>
      <c r="B57" s="14" t="s">
        <v>40</v>
      </c>
      <c r="C57" s="14">
        <v>162.039016</v>
      </c>
      <c r="D57" s="14">
        <v>0.733433</v>
      </c>
      <c r="E57" s="14">
        <v>790.620675</v>
      </c>
      <c r="F57" s="14">
        <v>150.190464</v>
      </c>
      <c r="G57" s="14">
        <v>0.450897</v>
      </c>
      <c r="H57" s="14">
        <v>40.37526</v>
      </c>
      <c r="I57" s="14">
        <v>1.0</v>
      </c>
      <c r="J57" s="14">
        <v>0.6034954103831359</v>
      </c>
      <c r="K57" s="14">
        <v>1.27737</v>
      </c>
      <c r="L57" s="14">
        <v>0.6034954103831359</v>
      </c>
      <c r="M57" s="13"/>
      <c r="N57" s="14">
        <v>0.0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14" t="s">
        <v>13</v>
      </c>
      <c r="B58" s="14" t="s">
        <v>41</v>
      </c>
      <c r="C58" s="14">
        <v>18.712096</v>
      </c>
      <c r="D58" s="14">
        <v>1622.202816</v>
      </c>
      <c r="E58" s="14">
        <v>272.176384</v>
      </c>
      <c r="F58" s="14">
        <v>3.065612</v>
      </c>
      <c r="G58" s="14">
        <v>3.129129</v>
      </c>
      <c r="H58" s="14">
        <v>10.252229</v>
      </c>
      <c r="I58" s="14">
        <v>1.0</v>
      </c>
      <c r="J58" s="14">
        <v>0.959994815830058</v>
      </c>
      <c r="K58" s="14">
        <v>1625.417552</v>
      </c>
      <c r="L58" s="14">
        <v>0.959994815830058</v>
      </c>
      <c r="M58" s="13"/>
      <c r="N58" s="14">
        <v>1.0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14" t="s">
        <v>14</v>
      </c>
      <c r="B59" s="14" t="s">
        <v>41</v>
      </c>
      <c r="C59" s="14">
        <v>18.712096</v>
      </c>
      <c r="D59" s="14">
        <v>16.666394</v>
      </c>
      <c r="E59" s="14">
        <v>94.605466</v>
      </c>
      <c r="F59" s="14">
        <v>18.751919</v>
      </c>
      <c r="G59" s="14">
        <v>0.252939</v>
      </c>
      <c r="H59" s="14">
        <v>16.017776</v>
      </c>
      <c r="I59" s="14">
        <v>0.5</v>
      </c>
      <c r="J59" s="14">
        <v>0.8154414499811131</v>
      </c>
      <c r="K59" s="14">
        <v>17.015787</v>
      </c>
      <c r="L59" s="14">
        <v>0.8154414499811131</v>
      </c>
      <c r="M59" s="13"/>
      <c r="N59" s="14">
        <v>0.0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14" t="s">
        <v>16</v>
      </c>
      <c r="B60" s="14" t="s">
        <v>41</v>
      </c>
      <c r="C60" s="14">
        <v>18.712096</v>
      </c>
      <c r="D60" s="14">
        <v>1934.261544</v>
      </c>
      <c r="E60" s="14">
        <v>320.95361</v>
      </c>
      <c r="F60" s="14">
        <v>3.796315</v>
      </c>
      <c r="G60" s="14">
        <v>7.293349</v>
      </c>
      <c r="H60" s="14">
        <v>10.211833</v>
      </c>
      <c r="I60" s="14">
        <v>1.0</v>
      </c>
      <c r="J60" s="14">
        <v>0.9170737609651912</v>
      </c>
      <c r="K60" s="14">
        <v>1941.647933</v>
      </c>
      <c r="L60" s="14">
        <v>0.9170737609651912</v>
      </c>
      <c r="M60" s="13"/>
      <c r="N60" s="14">
        <v>1.0</v>
      </c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14" t="s">
        <v>33</v>
      </c>
      <c r="B61" s="14" t="s">
        <v>41</v>
      </c>
      <c r="C61" s="14">
        <v>18.712096</v>
      </c>
      <c r="D61" s="14">
        <v>43.629089</v>
      </c>
      <c r="E61" s="14">
        <v>192.998481</v>
      </c>
      <c r="F61" s="14">
        <v>0.780771</v>
      </c>
      <c r="G61" s="14">
        <v>4.836686</v>
      </c>
      <c r="H61" s="14">
        <v>11.58279</v>
      </c>
      <c r="I61" s="14">
        <v>1.0</v>
      </c>
      <c r="J61" s="14">
        <v>0.8689819291242673</v>
      </c>
      <c r="K61" s="14">
        <v>48.562229</v>
      </c>
      <c r="L61" s="14">
        <v>0.8689819291242673</v>
      </c>
      <c r="M61" s="13"/>
      <c r="N61" s="14">
        <v>0.0</v>
      </c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14" t="s">
        <v>17</v>
      </c>
      <c r="B62" s="14" t="s">
        <v>41</v>
      </c>
      <c r="C62" s="14">
        <v>18.712096</v>
      </c>
      <c r="D62" s="13"/>
      <c r="E62" s="13"/>
      <c r="F62" s="13"/>
      <c r="G62" s="13"/>
      <c r="H62" s="13"/>
      <c r="I62" s="13"/>
      <c r="J62" s="13"/>
      <c r="K62" s="14">
        <v>0.16938</v>
      </c>
      <c r="L62" s="14">
        <v>0.4327190605461791</v>
      </c>
      <c r="M62" s="14" t="s">
        <v>68</v>
      </c>
      <c r="N62" s="14">
        <v>0.0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14" t="s">
        <v>18</v>
      </c>
      <c r="B63" s="14" t="s">
        <v>41</v>
      </c>
      <c r="C63" s="14">
        <v>18.712096</v>
      </c>
      <c r="D63" s="14">
        <v>1520.208392</v>
      </c>
      <c r="E63" s="14">
        <v>272.184695</v>
      </c>
      <c r="F63" s="14">
        <v>2.687624</v>
      </c>
      <c r="G63" s="14">
        <v>3.087767</v>
      </c>
      <c r="H63" s="14">
        <v>10.643437</v>
      </c>
      <c r="I63" s="14">
        <v>1.0</v>
      </c>
      <c r="J63" s="14">
        <v>0.9269213480189225</v>
      </c>
      <c r="K63" s="14">
        <v>1523.392613</v>
      </c>
      <c r="L63" s="14">
        <v>0.9269213480189225</v>
      </c>
      <c r="M63" s="13"/>
      <c r="N63" s="14">
        <v>1.0</v>
      </c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14" t="s">
        <v>19</v>
      </c>
      <c r="B64" s="14" t="s">
        <v>41</v>
      </c>
      <c r="C64" s="14">
        <v>18.712096</v>
      </c>
      <c r="D64" s="14">
        <v>0.249831</v>
      </c>
      <c r="E64" s="14">
        <v>94.460346</v>
      </c>
      <c r="F64" s="14">
        <v>18.715492</v>
      </c>
      <c r="G64" s="14">
        <v>0.074523</v>
      </c>
      <c r="H64" s="14">
        <v>11.411196</v>
      </c>
      <c r="I64" s="14">
        <v>1.0</v>
      </c>
      <c r="J64" s="14">
        <v>0.7407681010719782</v>
      </c>
      <c r="K64" s="14">
        <v>0.417394</v>
      </c>
      <c r="L64" s="14">
        <v>0.7407681010719782</v>
      </c>
      <c r="M64" s="13"/>
      <c r="N64" s="14">
        <v>0.0</v>
      </c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7" width="8.63"/>
  </cols>
  <sheetData>
    <row r="1">
      <c r="A1" s="12" t="s">
        <v>0</v>
      </c>
      <c r="B1" s="12" t="s">
        <v>42</v>
      </c>
      <c r="C1" s="12" t="s">
        <v>28</v>
      </c>
      <c r="D1" s="12" t="s">
        <v>43</v>
      </c>
      <c r="E1" s="12" t="s">
        <v>44</v>
      </c>
      <c r="F1" s="12" t="s">
        <v>45</v>
      </c>
      <c r="G1" s="12" t="s">
        <v>46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4" t="s">
        <v>47</v>
      </c>
      <c r="B2" s="14">
        <v>6.649281</v>
      </c>
      <c r="C2" s="14">
        <v>0.5522096184300376</v>
      </c>
      <c r="D2" s="14">
        <v>0.8227746867144723</v>
      </c>
      <c r="E2" s="14" t="b">
        <v>1</v>
      </c>
      <c r="F2" s="14" t="s">
        <v>48</v>
      </c>
      <c r="G2" s="14" t="s">
        <v>49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50</v>
      </c>
      <c r="B3" s="14">
        <v>168.432382</v>
      </c>
      <c r="C3" s="14">
        <v>0.8026197990450546</v>
      </c>
      <c r="D3" s="14">
        <v>2.226425590560025</v>
      </c>
      <c r="E3" s="14" t="b">
        <v>1</v>
      </c>
      <c r="F3" s="14" t="s">
        <v>48</v>
      </c>
      <c r="G3" s="14" t="s">
        <v>51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52</v>
      </c>
      <c r="B4" s="14">
        <v>1195.844459</v>
      </c>
      <c r="C4" s="14">
        <v>0.8411839478729342</v>
      </c>
      <c r="D4" s="14">
        <v>3.077674695546286</v>
      </c>
      <c r="E4" s="14" t="b">
        <v>1</v>
      </c>
      <c r="F4" s="14" t="s">
        <v>48</v>
      </c>
      <c r="G4" s="14" t="s">
        <v>53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54</v>
      </c>
      <c r="B5" s="14">
        <v>49041.741522</v>
      </c>
      <c r="C5" s="14">
        <v>0.8905319503712182</v>
      </c>
      <c r="D5" s="14">
        <v>4.69056588402189</v>
      </c>
      <c r="E5" s="14" t="b">
        <v>1</v>
      </c>
      <c r="F5" s="14" t="s">
        <v>48</v>
      </c>
      <c r="G5" s="14" t="s">
        <v>55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56</v>
      </c>
      <c r="B6" s="14">
        <v>102789.157231</v>
      </c>
      <c r="C6" s="14">
        <v>0.8763376899183034</v>
      </c>
      <c r="D6" s="14">
        <v>5.011947305290581</v>
      </c>
      <c r="E6" s="14" t="b">
        <v>0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59</v>
      </c>
      <c r="B7" s="14">
        <v>114418.7312</v>
      </c>
      <c r="C7" s="14">
        <v>0.8236685750461946</v>
      </c>
      <c r="D7" s="14">
        <v>5.058497127524267</v>
      </c>
      <c r="E7" s="14" t="b">
        <v>0</v>
      </c>
      <c r="F7" s="14" t="s">
        <v>57</v>
      </c>
      <c r="G7" s="14" t="s">
        <v>60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61</v>
      </c>
      <c r="B8" s="14">
        <v>612903.9721250001</v>
      </c>
      <c r="C8" s="14">
        <v>0.6307746354402191</v>
      </c>
      <c r="D8" s="14">
        <v>5.78739243594891</v>
      </c>
      <c r="E8" s="14" t="b">
        <v>0</v>
      </c>
      <c r="F8" s="14" t="s">
        <v>57</v>
      </c>
      <c r="G8" s="14" t="s">
        <v>62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4" width="8.63"/>
  </cols>
  <sheetData>
    <row r="1">
      <c r="A1" s="12" t="s">
        <v>0</v>
      </c>
      <c r="B1" s="12" t="s">
        <v>20</v>
      </c>
      <c r="C1" s="12" t="s">
        <v>21</v>
      </c>
      <c r="D1" s="12" t="s">
        <v>22</v>
      </c>
      <c r="E1" s="12" t="s">
        <v>23</v>
      </c>
      <c r="F1" s="12" t="s">
        <v>24</v>
      </c>
      <c r="G1" s="12" t="s">
        <v>25</v>
      </c>
      <c r="H1" s="12" t="s">
        <v>26</v>
      </c>
      <c r="I1" s="12" t="s">
        <v>27</v>
      </c>
      <c r="J1" s="12" t="s">
        <v>28</v>
      </c>
      <c r="K1" s="12" t="s">
        <v>29</v>
      </c>
      <c r="L1" s="12" t="s">
        <v>30</v>
      </c>
      <c r="M1" s="12" t="s">
        <v>63</v>
      </c>
      <c r="N1" s="12" t="s">
        <v>31</v>
      </c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4" t="s">
        <v>13</v>
      </c>
      <c r="B2" s="14" t="s">
        <v>32</v>
      </c>
      <c r="C2" s="14">
        <v>3.907448</v>
      </c>
      <c r="D2" s="14">
        <v>1258.35771</v>
      </c>
      <c r="E2" s="14">
        <v>128.429104</v>
      </c>
      <c r="F2" s="14">
        <v>3.998482</v>
      </c>
      <c r="G2" s="14">
        <v>1.143476</v>
      </c>
      <c r="H2" s="14">
        <v>1.751184</v>
      </c>
      <c r="I2" s="14">
        <v>1.0</v>
      </c>
      <c r="J2" s="14">
        <v>0.8576933924584005</v>
      </c>
      <c r="K2" s="14">
        <v>1259.592562</v>
      </c>
      <c r="L2" s="14">
        <v>0.8576933924584005</v>
      </c>
      <c r="M2" s="13"/>
      <c r="N2" s="14">
        <v>1.0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14</v>
      </c>
      <c r="B3" s="14" t="s">
        <v>32</v>
      </c>
      <c r="C3" s="14">
        <v>3.907448</v>
      </c>
      <c r="D3" s="14">
        <v>1.584879</v>
      </c>
      <c r="E3" s="14">
        <v>19.136893</v>
      </c>
      <c r="F3" s="14">
        <v>2.157324</v>
      </c>
      <c r="G3" s="14">
        <v>0.049237</v>
      </c>
      <c r="H3" s="14">
        <v>1.69798</v>
      </c>
      <c r="I3" s="14">
        <v>0.7142857142857143</v>
      </c>
      <c r="J3" s="14">
        <v>0.8962231897471771</v>
      </c>
      <c r="K3" s="14">
        <v>1.735994</v>
      </c>
      <c r="L3" s="14">
        <v>0.8962231897471771</v>
      </c>
      <c r="M3" s="13"/>
      <c r="N3" s="14">
        <v>1.0</v>
      </c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16</v>
      </c>
      <c r="B4" s="14" t="s">
        <v>32</v>
      </c>
      <c r="C4" s="14">
        <v>3.907448</v>
      </c>
      <c r="D4" s="14">
        <v>1246.995915</v>
      </c>
      <c r="E4" s="14">
        <v>129.340905</v>
      </c>
      <c r="F4" s="14">
        <v>4.052181</v>
      </c>
      <c r="G4" s="14">
        <v>1.488677</v>
      </c>
      <c r="H4" s="14">
        <v>1.734132</v>
      </c>
      <c r="I4" s="14">
        <v>1.0</v>
      </c>
      <c r="J4" s="14">
        <v>0.887104781573369</v>
      </c>
      <c r="K4" s="14">
        <v>1248.573669</v>
      </c>
      <c r="L4" s="14">
        <v>0.887104781573369</v>
      </c>
      <c r="M4" s="13"/>
      <c r="N4" s="14">
        <v>1.0</v>
      </c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33</v>
      </c>
      <c r="B5" s="14" t="s">
        <v>32</v>
      </c>
      <c r="C5" s="14">
        <v>3.907448</v>
      </c>
      <c r="D5" s="14">
        <v>14.148019</v>
      </c>
      <c r="E5" s="14">
        <v>40.828798</v>
      </c>
      <c r="F5" s="14">
        <v>0.260136</v>
      </c>
      <c r="G5" s="14">
        <v>1.016598</v>
      </c>
      <c r="H5" s="14">
        <v>1.673484</v>
      </c>
      <c r="I5" s="14">
        <v>1.0</v>
      </c>
      <c r="J5" s="14">
        <v>0.8437299459168182</v>
      </c>
      <c r="K5" s="14">
        <v>15.266495</v>
      </c>
      <c r="L5" s="14">
        <v>0.8437299459168182</v>
      </c>
      <c r="M5" s="13"/>
      <c r="N5" s="14">
        <v>0.0</v>
      </c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17</v>
      </c>
      <c r="B6" s="14" t="s">
        <v>32</v>
      </c>
      <c r="C6" s="14">
        <v>3.907448</v>
      </c>
      <c r="D6" s="14">
        <v>17141.257552</v>
      </c>
      <c r="E6" s="14">
        <v>1995.886407</v>
      </c>
      <c r="F6" s="14">
        <v>180.572057</v>
      </c>
      <c r="G6" s="14">
        <v>372.370293</v>
      </c>
      <c r="H6" s="14">
        <v>2.107199</v>
      </c>
      <c r="I6" s="14">
        <v>0.99997747816918</v>
      </c>
      <c r="J6" s="14">
        <v>0.934890489257593</v>
      </c>
      <c r="K6" s="14">
        <v>17513.726167</v>
      </c>
      <c r="L6" s="14">
        <v>0.934890489257593</v>
      </c>
      <c r="M6" s="13"/>
      <c r="N6" s="14">
        <v>1.0</v>
      </c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18</v>
      </c>
      <c r="B7" s="14" t="s">
        <v>32</v>
      </c>
      <c r="C7" s="14">
        <v>3.907448</v>
      </c>
      <c r="D7" s="14">
        <v>488.719149</v>
      </c>
      <c r="E7" s="14">
        <v>128.798745</v>
      </c>
      <c r="F7" s="14">
        <v>1.10879</v>
      </c>
      <c r="G7" s="14">
        <v>0.72292</v>
      </c>
      <c r="H7" s="14">
        <v>1.708739</v>
      </c>
      <c r="I7" s="14">
        <v>1.0</v>
      </c>
      <c r="J7" s="14">
        <v>0.8831249346599526</v>
      </c>
      <c r="K7" s="14">
        <v>489.543947</v>
      </c>
      <c r="L7" s="14">
        <v>0.8831249346599526</v>
      </c>
      <c r="M7" s="13"/>
      <c r="N7" s="14">
        <v>1.0</v>
      </c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19</v>
      </c>
      <c r="B8" s="14" t="s">
        <v>32</v>
      </c>
      <c r="C8" s="14">
        <v>3.907448</v>
      </c>
      <c r="D8" s="14">
        <v>0.089077</v>
      </c>
      <c r="E8" s="14">
        <v>18.854596</v>
      </c>
      <c r="F8" s="14">
        <v>2.152501</v>
      </c>
      <c r="G8" s="14">
        <v>0.037661</v>
      </c>
      <c r="H8" s="14">
        <v>1.665692</v>
      </c>
      <c r="I8" s="14">
        <v>1.0</v>
      </c>
      <c r="J8" s="14">
        <v>0.4329123247860583</v>
      </c>
      <c r="K8" s="14">
        <v>0.215815</v>
      </c>
      <c r="L8" s="14">
        <v>0.4329123247860583</v>
      </c>
      <c r="M8" s="13"/>
      <c r="N8" s="14">
        <v>0.0</v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13</v>
      </c>
      <c r="B9" s="14" t="s">
        <v>34</v>
      </c>
      <c r="C9" s="14">
        <v>4.520128</v>
      </c>
      <c r="D9" s="14">
        <v>803.635183</v>
      </c>
      <c r="E9" s="14">
        <v>55.864993</v>
      </c>
      <c r="F9" s="14">
        <v>7.689256</v>
      </c>
      <c r="G9" s="14">
        <v>1.304962</v>
      </c>
      <c r="H9" s="14">
        <v>7.171872</v>
      </c>
      <c r="I9" s="14">
        <v>1.0</v>
      </c>
      <c r="J9" s="14">
        <v>0.9218652777777776</v>
      </c>
      <c r="K9" s="14">
        <v>805.031521</v>
      </c>
      <c r="L9" s="14">
        <v>0.9218652777777776</v>
      </c>
      <c r="M9" s="13"/>
      <c r="N9" s="14">
        <v>0.0</v>
      </c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14</v>
      </c>
      <c r="B10" s="14" t="s">
        <v>34</v>
      </c>
      <c r="C10" s="14">
        <v>4.520128</v>
      </c>
      <c r="D10" s="14">
        <v>5.69417</v>
      </c>
      <c r="E10" s="14">
        <v>30.007335</v>
      </c>
      <c r="F10" s="14">
        <v>4.423055</v>
      </c>
      <c r="G10" s="14">
        <v>0.286296</v>
      </c>
      <c r="H10" s="14">
        <v>7.013701999999999</v>
      </c>
      <c r="I10" s="14">
        <v>1.0</v>
      </c>
      <c r="J10" s="14">
        <v>0.9784544294294296</v>
      </c>
      <c r="K10" s="14">
        <v>6.082344</v>
      </c>
      <c r="L10" s="14">
        <v>0.9784544294294296</v>
      </c>
      <c r="M10" s="13"/>
      <c r="N10" s="14">
        <v>0.0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16</v>
      </c>
      <c r="B11" s="14" t="s">
        <v>34</v>
      </c>
      <c r="C11" s="14">
        <v>4.520128</v>
      </c>
      <c r="D11" s="14">
        <v>879.166658</v>
      </c>
      <c r="E11" s="14">
        <v>60.398094</v>
      </c>
      <c r="F11" s="14">
        <v>7.690565</v>
      </c>
      <c r="G11" s="14">
        <v>1.497748</v>
      </c>
      <c r="H11" s="14">
        <v>7.034246</v>
      </c>
      <c r="I11" s="14">
        <v>1.0</v>
      </c>
      <c r="J11" s="14">
        <v>0.9253466216216216</v>
      </c>
      <c r="K11" s="14">
        <v>880.753483</v>
      </c>
      <c r="L11" s="14">
        <v>0.9253466216216216</v>
      </c>
      <c r="M11" s="13"/>
      <c r="N11" s="14">
        <v>0.0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33</v>
      </c>
      <c r="B12" s="14" t="s">
        <v>34</v>
      </c>
      <c r="C12" s="14">
        <v>4.520128</v>
      </c>
      <c r="D12" s="14">
        <v>28.088987</v>
      </c>
      <c r="E12" s="14">
        <v>61.445582</v>
      </c>
      <c r="F12" s="14">
        <v>0.509268</v>
      </c>
      <c r="G12" s="14">
        <v>1.71876</v>
      </c>
      <c r="H12" s="14">
        <v>7.003368</v>
      </c>
      <c r="I12" s="14">
        <v>1.0</v>
      </c>
      <c r="J12" s="14">
        <v>0.9823706831831832</v>
      </c>
      <c r="K12" s="14">
        <v>29.909625</v>
      </c>
      <c r="L12" s="14">
        <v>0.9823706831831832</v>
      </c>
      <c r="M12" s="13"/>
      <c r="N12" s="14">
        <v>0.0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17</v>
      </c>
      <c r="B13" s="14" t="s">
        <v>34</v>
      </c>
      <c r="C13" s="14">
        <v>4.520128</v>
      </c>
      <c r="D13" s="14">
        <v>8869.99388</v>
      </c>
      <c r="E13" s="14">
        <v>739.552157</v>
      </c>
      <c r="F13" s="14">
        <v>179.965374</v>
      </c>
      <c r="G13" s="14">
        <v>285.437394</v>
      </c>
      <c r="H13" s="14">
        <v>8.781935</v>
      </c>
      <c r="I13" s="14">
        <v>1.0</v>
      </c>
      <c r="J13" s="14">
        <v>0.650246509009009</v>
      </c>
      <c r="K13" s="14">
        <v>9155.529596</v>
      </c>
      <c r="L13" s="14">
        <v>0.650246509009009</v>
      </c>
      <c r="M13" s="13"/>
      <c r="N13" s="14">
        <v>0.0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18</v>
      </c>
      <c r="B14" s="14" t="s">
        <v>34</v>
      </c>
      <c r="C14" s="14">
        <v>4.520128</v>
      </c>
      <c r="D14" s="14">
        <v>243.370399</v>
      </c>
      <c r="E14" s="14">
        <v>55.883388</v>
      </c>
      <c r="F14" s="14">
        <v>1.162265</v>
      </c>
      <c r="G14" s="14">
        <v>1.050065</v>
      </c>
      <c r="H14" s="14">
        <v>6.993649</v>
      </c>
      <c r="I14" s="14">
        <v>1.0</v>
      </c>
      <c r="J14" s="14">
        <v>0.9727005255255256</v>
      </c>
      <c r="K14" s="14">
        <v>244.522342</v>
      </c>
      <c r="L14" s="14">
        <v>0.9727005255255256</v>
      </c>
      <c r="M14" s="13"/>
      <c r="N14" s="14">
        <v>0.0</v>
      </c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19</v>
      </c>
      <c r="B15" s="14" t="s">
        <v>34</v>
      </c>
      <c r="C15" s="14">
        <v>4.520128</v>
      </c>
      <c r="D15" s="14">
        <v>0.238727</v>
      </c>
      <c r="E15" s="14">
        <v>23.047347</v>
      </c>
      <c r="F15" s="14">
        <v>1.284369</v>
      </c>
      <c r="G15" s="14">
        <v>0.065604</v>
      </c>
      <c r="H15" s="14">
        <v>7.154329</v>
      </c>
      <c r="I15" s="14">
        <v>1.0</v>
      </c>
      <c r="J15" s="14">
        <v>0.5019957957957958</v>
      </c>
      <c r="K15" s="14">
        <v>0.393408</v>
      </c>
      <c r="L15" s="14">
        <v>0.5019957957957958</v>
      </c>
      <c r="M15" s="13"/>
      <c r="N15" s="14">
        <v>0.0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13</v>
      </c>
      <c r="B16" s="14" t="s">
        <v>35</v>
      </c>
      <c r="C16" s="14">
        <v>98.165608</v>
      </c>
      <c r="D16" s="14">
        <v>34876.798855</v>
      </c>
      <c r="E16" s="14">
        <v>3571.097893</v>
      </c>
      <c r="F16" s="14">
        <v>73.792532</v>
      </c>
      <c r="G16" s="14">
        <v>25.646781</v>
      </c>
      <c r="H16" s="14">
        <v>40.796828</v>
      </c>
      <c r="I16" s="14">
        <v>1.0</v>
      </c>
      <c r="J16" s="14">
        <v>0.8936026852859773</v>
      </c>
      <c r="K16" s="14">
        <v>34902.537012</v>
      </c>
      <c r="L16" s="14">
        <v>0.8936026852859773</v>
      </c>
      <c r="M16" s="13"/>
      <c r="N16" s="14">
        <v>1.0</v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14</v>
      </c>
      <c r="B17" s="14" t="s">
        <v>35</v>
      </c>
      <c r="C17" s="14">
        <v>98.165608</v>
      </c>
      <c r="D17" s="14">
        <v>19.205512</v>
      </c>
      <c r="E17" s="14">
        <v>469.537489</v>
      </c>
      <c r="F17" s="14">
        <v>62.32306</v>
      </c>
      <c r="G17" s="14">
        <v>0.936343</v>
      </c>
      <c r="H17" s="14">
        <v>38.382069</v>
      </c>
      <c r="I17" s="14">
        <v>0.7735849056603774</v>
      </c>
      <c r="J17" s="14">
        <v>0.8908572860941755</v>
      </c>
      <c r="K17" s="14">
        <v>20.243733</v>
      </c>
      <c r="L17" s="14">
        <v>0.8908572860941755</v>
      </c>
      <c r="M17" s="13"/>
      <c r="N17" s="14">
        <v>1.0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16</v>
      </c>
      <c r="B18" s="14" t="s">
        <v>35</v>
      </c>
      <c r="C18" s="14">
        <v>98.165608</v>
      </c>
      <c r="D18" s="14">
        <v>35138.974558</v>
      </c>
      <c r="E18" s="14">
        <v>3619.118378</v>
      </c>
      <c r="F18" s="14">
        <v>73.897561</v>
      </c>
      <c r="G18" s="14">
        <v>32.749124</v>
      </c>
      <c r="H18" s="14">
        <v>42.615685</v>
      </c>
      <c r="I18" s="14">
        <v>1.0</v>
      </c>
      <c r="J18" s="14">
        <v>0.8903456872967631</v>
      </c>
      <c r="K18" s="14">
        <v>35171.812759</v>
      </c>
      <c r="L18" s="14">
        <v>0.8903456872967631</v>
      </c>
      <c r="M18" s="13"/>
      <c r="N18" s="14">
        <v>1.0</v>
      </c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33</v>
      </c>
      <c r="B19" s="14" t="s">
        <v>35</v>
      </c>
      <c r="C19" s="14">
        <v>98.165608</v>
      </c>
      <c r="D19" s="14">
        <v>312.914467</v>
      </c>
      <c r="E19" s="14">
        <v>1009.322363</v>
      </c>
      <c r="F19" s="14">
        <v>0.593503</v>
      </c>
      <c r="G19" s="14">
        <v>23.233002</v>
      </c>
      <c r="H19" s="14">
        <v>37.76455600000001</v>
      </c>
      <c r="I19" s="14">
        <v>1.0</v>
      </c>
      <c r="J19" s="14">
        <v>0.8838066476531389</v>
      </c>
      <c r="K19" s="14">
        <v>336.249347</v>
      </c>
      <c r="L19" s="14">
        <v>0.8838066476531389</v>
      </c>
      <c r="M19" s="13"/>
      <c r="N19" s="14">
        <v>0.0</v>
      </c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17</v>
      </c>
      <c r="B20" s="14" t="s">
        <v>35</v>
      </c>
      <c r="C20" s="14">
        <v>98.165608</v>
      </c>
      <c r="D20" s="14">
        <v>248825.803291</v>
      </c>
      <c r="E20" s="14">
        <v>7515.967845</v>
      </c>
      <c r="F20" s="14">
        <v>181.749781</v>
      </c>
      <c r="G20" s="14">
        <v>7639.94631</v>
      </c>
      <c r="H20" s="14">
        <v>89.417635</v>
      </c>
      <c r="I20" s="14">
        <v>0.9999992257970928</v>
      </c>
      <c r="J20" s="14">
        <v>0.9673627160542336</v>
      </c>
      <c r="K20" s="14">
        <v>256465.847923</v>
      </c>
      <c r="L20" s="14">
        <v>0.9673627160542336</v>
      </c>
      <c r="M20" s="13"/>
      <c r="N20" s="14">
        <v>1.0</v>
      </c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14" t="s">
        <v>18</v>
      </c>
      <c r="B21" s="14" t="s">
        <v>35</v>
      </c>
      <c r="C21" s="14">
        <v>98.165608</v>
      </c>
      <c r="D21" s="14">
        <v>8946.841756</v>
      </c>
      <c r="E21" s="14">
        <v>3571.096198</v>
      </c>
      <c r="F21" s="14">
        <v>5.653928</v>
      </c>
      <c r="G21" s="14">
        <v>14.262989</v>
      </c>
      <c r="H21" s="14">
        <v>38.374688</v>
      </c>
      <c r="I21" s="14">
        <v>1.0</v>
      </c>
      <c r="J21" s="14">
        <v>0.9182483946141582</v>
      </c>
      <c r="K21" s="14">
        <v>8961.206623</v>
      </c>
      <c r="L21" s="14">
        <v>0.9182483946141582</v>
      </c>
      <c r="M21" s="13"/>
      <c r="N21" s="14">
        <v>1.0</v>
      </c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14" t="s">
        <v>19</v>
      </c>
      <c r="B22" s="14" t="s">
        <v>35</v>
      </c>
      <c r="C22" s="14">
        <v>98.165608</v>
      </c>
      <c r="D22" s="14">
        <v>1.112763</v>
      </c>
      <c r="E22" s="14">
        <v>469.460659</v>
      </c>
      <c r="F22" s="14">
        <v>62.31429</v>
      </c>
      <c r="G22" s="14">
        <v>0.855016</v>
      </c>
      <c r="H22" s="14">
        <v>42.282759</v>
      </c>
      <c r="I22" s="14">
        <v>1.0</v>
      </c>
      <c r="J22" s="14">
        <v>0.3420143277300588</v>
      </c>
      <c r="K22" s="14">
        <v>2.056856</v>
      </c>
      <c r="L22" s="14">
        <v>0.3420143277300588</v>
      </c>
      <c r="M22" s="13"/>
      <c r="N22" s="14">
        <v>0.0</v>
      </c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14" t="s">
        <v>13</v>
      </c>
      <c r="B23" s="14" t="s">
        <v>36</v>
      </c>
      <c r="C23" s="14">
        <v>3.200128</v>
      </c>
      <c r="D23" s="14">
        <v>594.926034</v>
      </c>
      <c r="E23" s="14">
        <v>32.675612</v>
      </c>
      <c r="F23" s="14">
        <v>4.45029</v>
      </c>
      <c r="G23" s="14">
        <v>0.667455</v>
      </c>
      <c r="H23" s="14">
        <v>2.49356</v>
      </c>
      <c r="I23" s="14">
        <v>1.0</v>
      </c>
      <c r="J23" s="14">
        <v>0.9229373519173628</v>
      </c>
      <c r="K23" s="14">
        <v>595.684865</v>
      </c>
      <c r="L23" s="14">
        <v>0.9229373519173628</v>
      </c>
      <c r="M23" s="13"/>
      <c r="N23" s="14">
        <v>0.0</v>
      </c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14" t="s">
        <v>14</v>
      </c>
      <c r="B24" s="14" t="s">
        <v>36</v>
      </c>
      <c r="C24" s="14">
        <v>3.200128</v>
      </c>
      <c r="D24" s="14">
        <v>0.139234</v>
      </c>
      <c r="E24" s="14">
        <v>16.581276</v>
      </c>
      <c r="F24" s="14">
        <v>0.861281</v>
      </c>
      <c r="G24" s="14">
        <v>0.036634</v>
      </c>
      <c r="H24" s="14">
        <v>2.452327</v>
      </c>
      <c r="I24" s="14">
        <v>1.0</v>
      </c>
      <c r="J24" s="14">
        <v>0.9620961076629098</v>
      </c>
      <c r="K24" s="14">
        <v>0.277746</v>
      </c>
      <c r="L24" s="14">
        <v>0.9620961076629098</v>
      </c>
      <c r="M24" s="13"/>
      <c r="N24" s="14">
        <v>0.0</v>
      </c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14" t="s">
        <v>16</v>
      </c>
      <c r="B25" s="14" t="s">
        <v>36</v>
      </c>
      <c r="C25" s="14">
        <v>3.200128</v>
      </c>
      <c r="D25" s="14">
        <v>693.874815</v>
      </c>
      <c r="E25" s="14">
        <v>35.88692</v>
      </c>
      <c r="F25" s="14">
        <v>4.451132</v>
      </c>
      <c r="G25" s="14">
        <v>0.81546</v>
      </c>
      <c r="H25" s="14">
        <v>2.667435</v>
      </c>
      <c r="I25" s="14">
        <v>1.0</v>
      </c>
      <c r="J25" s="14">
        <v>0.9025278789579676</v>
      </c>
      <c r="K25" s="14">
        <v>694.779352</v>
      </c>
      <c r="L25" s="14">
        <v>0.9025278789579676</v>
      </c>
      <c r="M25" s="13"/>
      <c r="N25" s="14">
        <v>0.0</v>
      </c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14" t="s">
        <v>33</v>
      </c>
      <c r="B26" s="14" t="s">
        <v>36</v>
      </c>
      <c r="C26" s="14">
        <v>3.200128</v>
      </c>
      <c r="D26" s="14">
        <v>14.080046</v>
      </c>
      <c r="E26" s="14">
        <v>33.341056</v>
      </c>
      <c r="F26" s="14">
        <v>0.308887</v>
      </c>
      <c r="G26" s="14">
        <v>0.847302</v>
      </c>
      <c r="H26" s="14">
        <v>2.465829</v>
      </c>
      <c r="I26" s="14">
        <v>1.0</v>
      </c>
      <c r="J26" s="14">
        <v>0.9672384890746114</v>
      </c>
      <c r="K26" s="14">
        <v>15.029226</v>
      </c>
      <c r="L26" s="14">
        <v>0.9672384890746114</v>
      </c>
      <c r="M26" s="13"/>
      <c r="N26" s="14">
        <v>0.0</v>
      </c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14" t="s">
        <v>17</v>
      </c>
      <c r="B27" s="14" t="s">
        <v>36</v>
      </c>
      <c r="C27" s="14">
        <v>3.200128</v>
      </c>
      <c r="D27" s="14">
        <v>6200.863679</v>
      </c>
      <c r="E27" s="14">
        <v>728.994031</v>
      </c>
      <c r="F27" s="14">
        <v>179.823617</v>
      </c>
      <c r="G27" s="14">
        <v>150.061661</v>
      </c>
      <c r="H27" s="14">
        <v>3.015543</v>
      </c>
      <c r="I27" s="14">
        <v>1.0</v>
      </c>
      <c r="J27" s="14">
        <v>0.9608767019102408</v>
      </c>
      <c r="K27" s="14">
        <v>6351.023662</v>
      </c>
      <c r="L27" s="14">
        <v>0.9608767019102408</v>
      </c>
      <c r="M27" s="13"/>
      <c r="N27" s="14">
        <v>0.0</v>
      </c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14" t="s">
        <v>18</v>
      </c>
      <c r="B28" s="14" t="s">
        <v>36</v>
      </c>
      <c r="C28" s="14">
        <v>3.200128</v>
      </c>
      <c r="D28" s="14">
        <v>231.129302</v>
      </c>
      <c r="E28" s="14">
        <v>32.655389</v>
      </c>
      <c r="F28" s="14">
        <v>0.8604</v>
      </c>
      <c r="G28" s="14">
        <v>0.494794</v>
      </c>
      <c r="H28" s="14">
        <v>2.47099</v>
      </c>
      <c r="I28" s="14">
        <v>1.0</v>
      </c>
      <c r="J28" s="14">
        <v>0.9569586410553236</v>
      </c>
      <c r="K28" s="14">
        <v>231.725974</v>
      </c>
      <c r="L28" s="14">
        <v>0.9569586410553236</v>
      </c>
      <c r="M28" s="13"/>
      <c r="N28" s="14">
        <v>0.0</v>
      </c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14" t="s">
        <v>19</v>
      </c>
      <c r="B29" s="14" t="s">
        <v>36</v>
      </c>
      <c r="C29" s="14">
        <v>3.200128</v>
      </c>
      <c r="D29" s="14">
        <v>0.158564</v>
      </c>
      <c r="E29" s="14">
        <v>16.579971</v>
      </c>
      <c r="F29" s="14">
        <v>0.861279</v>
      </c>
      <c r="G29" s="14">
        <v>0.044558</v>
      </c>
      <c r="H29" s="14">
        <v>2.678099</v>
      </c>
      <c r="I29" s="14">
        <v>1.0</v>
      </c>
      <c r="J29" s="14">
        <v>0.6799587875893454</v>
      </c>
      <c r="K29" s="14">
        <v>0.292199</v>
      </c>
      <c r="L29" s="14">
        <v>0.6799587875893454</v>
      </c>
      <c r="M29" s="13"/>
      <c r="N29" s="14">
        <v>0.0</v>
      </c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14" t="s">
        <v>13</v>
      </c>
      <c r="B30" s="14" t="s">
        <v>37</v>
      </c>
      <c r="C30" s="14">
        <v>255.645408</v>
      </c>
      <c r="D30" s="14">
        <v>40248.181123</v>
      </c>
      <c r="E30" s="14">
        <v>3483.221779</v>
      </c>
      <c r="F30" s="14">
        <v>7.503442</v>
      </c>
      <c r="G30" s="14">
        <v>46.234079</v>
      </c>
      <c r="H30" s="14">
        <v>78.58078099999999</v>
      </c>
      <c r="I30" s="14">
        <v>1.0</v>
      </c>
      <c r="J30" s="14">
        <v>0.9396237508326822</v>
      </c>
      <c r="K30" s="14">
        <v>40294.506578</v>
      </c>
      <c r="L30" s="14">
        <v>0.9396237508326822</v>
      </c>
      <c r="M30" s="13"/>
      <c r="N30" s="14">
        <v>1.0</v>
      </c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14" t="s">
        <v>14</v>
      </c>
      <c r="B31" s="14" t="s">
        <v>37</v>
      </c>
      <c r="C31" s="14">
        <v>255.645408</v>
      </c>
      <c r="D31" s="14">
        <v>62.498895</v>
      </c>
      <c r="E31" s="14">
        <v>1287.931214</v>
      </c>
      <c r="F31" s="14">
        <v>255.674697</v>
      </c>
      <c r="G31" s="14">
        <v>1.900782</v>
      </c>
      <c r="H31" s="14">
        <v>3515.466492</v>
      </c>
      <c r="I31" s="14">
        <v>0.492734244888073</v>
      </c>
      <c r="J31" s="14">
        <v>0.7135732076047883</v>
      </c>
      <c r="K31" s="14">
        <v>64.501555</v>
      </c>
      <c r="L31" s="14">
        <v>0.7135732076047883</v>
      </c>
      <c r="M31" s="13"/>
      <c r="N31" s="14">
        <v>1.0</v>
      </c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14" t="s">
        <v>16</v>
      </c>
      <c r="B32" s="14" t="s">
        <v>37</v>
      </c>
      <c r="C32" s="14">
        <v>255.645408</v>
      </c>
      <c r="D32" s="14">
        <v>44676.97402</v>
      </c>
      <c r="E32" s="14">
        <v>3739.373886</v>
      </c>
      <c r="F32" s="14">
        <v>8.101912</v>
      </c>
      <c r="G32" s="14">
        <v>124.116482</v>
      </c>
      <c r="H32" s="14">
        <v>61.226681</v>
      </c>
      <c r="I32" s="14">
        <v>1.0</v>
      </c>
      <c r="J32" s="14">
        <v>0.674561704813339</v>
      </c>
      <c r="K32" s="14">
        <v>44801.179579</v>
      </c>
      <c r="L32" s="14">
        <v>0.674561704813339</v>
      </c>
      <c r="M32" s="13"/>
      <c r="N32" s="14">
        <v>1.0</v>
      </c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14" t="s">
        <v>33</v>
      </c>
      <c r="B33" s="14" t="s">
        <v>37</v>
      </c>
      <c r="C33" s="14">
        <v>255.645408</v>
      </c>
      <c r="D33" s="14">
        <v>377.064984</v>
      </c>
      <c r="E33" s="14">
        <v>2625.842367</v>
      </c>
      <c r="F33" s="14">
        <v>0.730716</v>
      </c>
      <c r="G33" s="14">
        <v>71.379243</v>
      </c>
      <c r="H33" s="14">
        <v>60.59037</v>
      </c>
      <c r="I33" s="14">
        <v>1.0</v>
      </c>
      <c r="J33" s="14">
        <v>0.5949887839771277</v>
      </c>
      <c r="K33" s="14">
        <v>448.546105</v>
      </c>
      <c r="L33" s="14">
        <v>0.5949887839771277</v>
      </c>
      <c r="M33" s="13"/>
      <c r="N33" s="14">
        <v>0.0</v>
      </c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14" t="s">
        <v>17</v>
      </c>
      <c r="B34" s="14" t="s">
        <v>37</v>
      </c>
      <c r="C34" s="13"/>
      <c r="D34" s="13"/>
      <c r="E34" s="13"/>
      <c r="F34" s="13"/>
      <c r="G34" s="13"/>
      <c r="H34" s="13"/>
      <c r="I34" s="13"/>
      <c r="J34" s="13"/>
      <c r="K34" s="14">
        <v>345600.137427</v>
      </c>
      <c r="L34" s="14">
        <v>0.4340007147880677</v>
      </c>
      <c r="M34" s="14" t="s">
        <v>64</v>
      </c>
      <c r="N34" s="14">
        <v>0.0</v>
      </c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14" t="s">
        <v>18</v>
      </c>
      <c r="B35" s="14" t="s">
        <v>37</v>
      </c>
      <c r="C35" s="14">
        <v>255.645408</v>
      </c>
      <c r="D35" s="14">
        <v>21309.350192</v>
      </c>
      <c r="E35" s="14">
        <v>3483.232857</v>
      </c>
      <c r="F35" s="14">
        <v>10.32129</v>
      </c>
      <c r="G35" s="14">
        <v>32.411723</v>
      </c>
      <c r="H35" s="14">
        <v>74.74739600000001</v>
      </c>
      <c r="I35" s="14">
        <v>1.0</v>
      </c>
      <c r="J35" s="14">
        <v>0.9573278212792348</v>
      </c>
      <c r="K35" s="14">
        <v>21341.863793</v>
      </c>
      <c r="L35" s="14">
        <v>0.9573278212792348</v>
      </c>
      <c r="M35" s="13"/>
      <c r="N35" s="14">
        <v>1.0</v>
      </c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14" t="s">
        <v>19</v>
      </c>
      <c r="B36" s="14" t="s">
        <v>37</v>
      </c>
      <c r="C36" s="14">
        <v>255.645408</v>
      </c>
      <c r="D36" s="14">
        <v>0.967338</v>
      </c>
      <c r="E36" s="14">
        <v>1287.762884</v>
      </c>
      <c r="F36" s="14">
        <v>255.648398</v>
      </c>
      <c r="G36" s="14">
        <v>0.547588</v>
      </c>
      <c r="H36" s="14">
        <v>91.688899</v>
      </c>
      <c r="I36" s="14">
        <v>1.0</v>
      </c>
      <c r="J36" s="14">
        <v>0.7521850232083631</v>
      </c>
      <c r="K36" s="14">
        <v>1.604003</v>
      </c>
      <c r="L36" s="14">
        <v>0.7521850232083631</v>
      </c>
      <c r="M36" s="13"/>
      <c r="N36" s="14">
        <v>1.0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14" t="s">
        <v>13</v>
      </c>
      <c r="B37" s="14" t="s">
        <v>38</v>
      </c>
      <c r="C37" s="14">
        <v>0.200128</v>
      </c>
      <c r="D37" s="14">
        <v>72.156249</v>
      </c>
      <c r="E37" s="14">
        <v>16.143328</v>
      </c>
      <c r="F37" s="14">
        <v>5.425123</v>
      </c>
      <c r="G37" s="14">
        <v>1.182253</v>
      </c>
      <c r="H37" s="14">
        <v>1.252887</v>
      </c>
      <c r="I37" s="14">
        <v>1.0</v>
      </c>
      <c r="J37" s="14">
        <v>0.6957054551909917</v>
      </c>
      <c r="K37" s="14">
        <v>73.429878</v>
      </c>
      <c r="L37" s="14">
        <v>0.6957054551909917</v>
      </c>
      <c r="M37" s="13"/>
      <c r="N37" s="14">
        <v>0.0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14" t="s">
        <v>14</v>
      </c>
      <c r="B38" s="14" t="s">
        <v>38</v>
      </c>
      <c r="C38" s="14">
        <v>0.200128</v>
      </c>
      <c r="D38" s="14">
        <v>0.54053</v>
      </c>
      <c r="E38" s="14">
        <v>1.181518</v>
      </c>
      <c r="F38" s="14">
        <v>0.24771</v>
      </c>
      <c r="G38" s="14">
        <v>0.042428</v>
      </c>
      <c r="H38" s="14">
        <v>1.834723</v>
      </c>
      <c r="I38" s="14">
        <v>0.2796155555555556</v>
      </c>
      <c r="J38" s="14">
        <v>0.2518450866737775</v>
      </c>
      <c r="K38" s="14">
        <v>0.684836</v>
      </c>
      <c r="L38" s="14">
        <v>0.2518450866737775</v>
      </c>
      <c r="M38" s="13"/>
      <c r="N38" s="14">
        <v>0.0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14" t="s">
        <v>16</v>
      </c>
      <c r="B39" s="14" t="s">
        <v>38</v>
      </c>
      <c r="C39" s="14">
        <v>0.200128</v>
      </c>
      <c r="D39" s="14">
        <v>77.71141</v>
      </c>
      <c r="E39" s="14">
        <v>16.514218</v>
      </c>
      <c r="F39" s="14">
        <v>5.497374</v>
      </c>
      <c r="G39" s="14">
        <v>1.326343</v>
      </c>
      <c r="H39" s="14">
        <v>1.294198</v>
      </c>
      <c r="I39" s="14">
        <v>1.0</v>
      </c>
      <c r="J39" s="14">
        <v>0.7021092928936763</v>
      </c>
      <c r="K39" s="14">
        <v>79.12683</v>
      </c>
      <c r="L39" s="14">
        <v>0.7021092928936763</v>
      </c>
      <c r="M39" s="13"/>
      <c r="N39" s="14">
        <v>0.0</v>
      </c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14" t="s">
        <v>33</v>
      </c>
      <c r="B40" s="14" t="s">
        <v>38</v>
      </c>
      <c r="C40" s="14">
        <v>0.200128</v>
      </c>
      <c r="D40" s="14">
        <v>4.500017</v>
      </c>
      <c r="E40" s="14">
        <v>2.908322</v>
      </c>
      <c r="F40" s="14">
        <v>0.409538</v>
      </c>
      <c r="G40" s="14">
        <v>1.107365</v>
      </c>
      <c r="H40" s="14">
        <v>1.263218</v>
      </c>
      <c r="I40" s="14">
        <v>1.0</v>
      </c>
      <c r="J40" s="14">
        <v>0.7692935499906738</v>
      </c>
      <c r="K40" s="14">
        <v>5.70926</v>
      </c>
      <c r="L40" s="14">
        <v>0.7692935499906738</v>
      </c>
      <c r="M40" s="13"/>
      <c r="N40" s="14">
        <v>0.0</v>
      </c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14" t="s">
        <v>17</v>
      </c>
      <c r="B41" s="14" t="s">
        <v>38</v>
      </c>
      <c r="C41" s="14">
        <v>0.200128</v>
      </c>
      <c r="D41" s="13"/>
      <c r="E41" s="13"/>
      <c r="F41" s="13"/>
      <c r="G41" s="13"/>
      <c r="H41" s="13"/>
      <c r="I41" s="13"/>
      <c r="J41" s="13"/>
      <c r="K41" s="14">
        <v>0.137427</v>
      </c>
      <c r="L41" s="14">
        <v>0.4340007147880677</v>
      </c>
      <c r="M41" s="14" t="s">
        <v>65</v>
      </c>
      <c r="N41" s="14">
        <v>0.0</v>
      </c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14" t="s">
        <v>18</v>
      </c>
      <c r="B42" s="14" t="s">
        <v>38</v>
      </c>
      <c r="C42" s="14">
        <v>0.200128</v>
      </c>
      <c r="D42" s="14">
        <v>19.352581</v>
      </c>
      <c r="E42" s="14">
        <v>15.850755</v>
      </c>
      <c r="F42" s="14">
        <v>1.099663</v>
      </c>
      <c r="G42" s="14">
        <v>1.095743</v>
      </c>
      <c r="H42" s="14">
        <v>1.256822</v>
      </c>
      <c r="I42" s="14">
        <v>1.0</v>
      </c>
      <c r="J42" s="14">
        <v>0.686746928731073</v>
      </c>
      <c r="K42" s="14">
        <v>20.550202</v>
      </c>
      <c r="L42" s="14">
        <v>0.686746928731073</v>
      </c>
      <c r="M42" s="13"/>
      <c r="N42" s="14">
        <v>0.0</v>
      </c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14" t="s">
        <v>19</v>
      </c>
      <c r="B43" s="14" t="s">
        <v>38</v>
      </c>
      <c r="C43" s="14">
        <v>0.200128</v>
      </c>
      <c r="D43" s="14">
        <v>0.181819</v>
      </c>
      <c r="E43" s="14">
        <v>1.089203</v>
      </c>
      <c r="F43" s="14">
        <v>0.233522</v>
      </c>
      <c r="G43" s="14">
        <v>0.024487</v>
      </c>
      <c r="H43" s="14">
        <v>1.428925</v>
      </c>
      <c r="I43" s="14">
        <v>0.8347199999999999</v>
      </c>
      <c r="J43" s="14">
        <v>0.3104905420901955</v>
      </c>
      <c r="K43" s="14">
        <v>0.295383</v>
      </c>
      <c r="L43" s="14">
        <v>0.3104905420901955</v>
      </c>
      <c r="M43" s="13"/>
      <c r="N43" s="14">
        <v>0.0</v>
      </c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14" t="s">
        <v>13</v>
      </c>
      <c r="B44" s="14" t="s">
        <v>39</v>
      </c>
      <c r="C44" s="14">
        <v>3.340128</v>
      </c>
      <c r="D44" s="14">
        <v>701.058734</v>
      </c>
      <c r="E44" s="14">
        <v>46.788901</v>
      </c>
      <c r="F44" s="14">
        <v>5.835959</v>
      </c>
      <c r="G44" s="14">
        <v>0.98127</v>
      </c>
      <c r="H44" s="14">
        <v>3.933356</v>
      </c>
      <c r="I44" s="14">
        <v>1.0</v>
      </c>
      <c r="J44" s="14">
        <v>0.8873949346202266</v>
      </c>
      <c r="K44" s="14">
        <v>702.1313799999999</v>
      </c>
      <c r="L44" s="14">
        <v>0.8873949346202266</v>
      </c>
      <c r="M44" s="13"/>
      <c r="N44" s="14">
        <v>0.0</v>
      </c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14" t="s">
        <v>14</v>
      </c>
      <c r="B45" s="14" t="s">
        <v>39</v>
      </c>
      <c r="C45" s="14">
        <v>3.340128</v>
      </c>
      <c r="D45" s="14">
        <v>3.806911</v>
      </c>
      <c r="E45" s="14">
        <v>21.915815</v>
      </c>
      <c r="F45" s="14">
        <v>3.325298</v>
      </c>
      <c r="G45" s="14">
        <v>0.192147</v>
      </c>
      <c r="H45" s="14">
        <v>3.946458</v>
      </c>
      <c r="I45" s="14">
        <v>1.0</v>
      </c>
      <c r="J45" s="14">
        <v>0.9638086812071592</v>
      </c>
      <c r="K45" s="14">
        <v>4.100936</v>
      </c>
      <c r="L45" s="14">
        <v>0.9638086812071592</v>
      </c>
      <c r="M45" s="13"/>
      <c r="N45" s="14">
        <v>0.0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14" t="s">
        <v>16</v>
      </c>
      <c r="B46" s="14" t="s">
        <v>39</v>
      </c>
      <c r="C46" s="14">
        <v>3.340128</v>
      </c>
      <c r="D46" s="14">
        <v>721.868278</v>
      </c>
      <c r="E46" s="14">
        <v>50.139183</v>
      </c>
      <c r="F46" s="14">
        <v>5.836993</v>
      </c>
      <c r="G46" s="14">
        <v>1.023689</v>
      </c>
      <c r="H46" s="14">
        <v>3.966433</v>
      </c>
      <c r="I46" s="14">
        <v>1.0</v>
      </c>
      <c r="J46" s="14">
        <v>0.9100763104035388</v>
      </c>
      <c r="K46" s="14">
        <v>722.981044</v>
      </c>
      <c r="L46" s="14">
        <v>0.9100763104035388</v>
      </c>
      <c r="M46" s="13"/>
      <c r="N46" s="14">
        <v>0.0</v>
      </c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14" t="s">
        <v>33</v>
      </c>
      <c r="B47" s="14" t="s">
        <v>39</v>
      </c>
      <c r="C47" s="14">
        <v>3.340128</v>
      </c>
      <c r="D47" s="14">
        <v>20.211784</v>
      </c>
      <c r="E47" s="14">
        <v>44.916159</v>
      </c>
      <c r="F47" s="14">
        <v>0.390418</v>
      </c>
      <c r="G47" s="14">
        <v>1.169956</v>
      </c>
      <c r="H47" s="14">
        <v>3.957934</v>
      </c>
      <c r="I47" s="14">
        <v>1.0</v>
      </c>
      <c r="J47" s="14">
        <v>0.9706317984770574</v>
      </c>
      <c r="K47" s="14">
        <v>21.483618</v>
      </c>
      <c r="L47" s="14">
        <v>0.9706317984770574</v>
      </c>
      <c r="M47" s="13"/>
      <c r="N47" s="14">
        <v>0.0</v>
      </c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14" t="s">
        <v>17</v>
      </c>
      <c r="B48" s="14" t="s">
        <v>39</v>
      </c>
      <c r="C48" s="14">
        <v>3.340128</v>
      </c>
      <c r="D48" s="13"/>
      <c r="E48" s="13"/>
      <c r="F48" s="13"/>
      <c r="G48" s="13"/>
      <c r="H48" s="13"/>
      <c r="I48" s="13"/>
      <c r="J48" s="13"/>
      <c r="K48" s="14">
        <v>0.137427</v>
      </c>
      <c r="L48" s="14">
        <v>0.4340007147880677</v>
      </c>
      <c r="M48" s="14" t="s">
        <v>66</v>
      </c>
      <c r="N48" s="14">
        <v>0.0</v>
      </c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14" t="s">
        <v>18</v>
      </c>
      <c r="B49" s="14" t="s">
        <v>39</v>
      </c>
      <c r="C49" s="14">
        <v>3.340128</v>
      </c>
      <c r="D49" s="14">
        <v>236.208372</v>
      </c>
      <c r="E49" s="14">
        <v>46.782424</v>
      </c>
      <c r="F49" s="14">
        <v>0.988737</v>
      </c>
      <c r="G49" s="14">
        <v>0.75692</v>
      </c>
      <c r="H49" s="14">
        <v>3.977989</v>
      </c>
      <c r="I49" s="14">
        <v>1.0</v>
      </c>
      <c r="J49" s="14">
        <v>0.923786653910339</v>
      </c>
      <c r="K49" s="14">
        <v>237.06717</v>
      </c>
      <c r="L49" s="14">
        <v>0.923786653910339</v>
      </c>
      <c r="M49" s="13"/>
      <c r="N49" s="14">
        <v>0.0</v>
      </c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14" t="s">
        <v>19</v>
      </c>
      <c r="B50" s="14" t="s">
        <v>39</v>
      </c>
      <c r="C50" s="14">
        <v>3.340128</v>
      </c>
      <c r="D50" s="14">
        <v>0.14459</v>
      </c>
      <c r="E50" s="14">
        <v>17.165133</v>
      </c>
      <c r="F50" s="14">
        <v>1.147901</v>
      </c>
      <c r="G50" s="14">
        <v>0.047561</v>
      </c>
      <c r="H50" s="14">
        <v>3.963101</v>
      </c>
      <c r="I50" s="14">
        <v>1.0</v>
      </c>
      <c r="J50" s="14">
        <v>0.6075051224656985</v>
      </c>
      <c r="K50" s="14">
        <v>0.281228</v>
      </c>
      <c r="L50" s="14">
        <v>0.6075051224656985</v>
      </c>
      <c r="M50" s="13"/>
      <c r="N50" s="14">
        <v>0.0</v>
      </c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14" t="s">
        <v>13</v>
      </c>
      <c r="B51" s="14" t="s">
        <v>40</v>
      </c>
      <c r="C51" s="14">
        <v>162.039016</v>
      </c>
      <c r="D51" s="14">
        <v>31745.518702</v>
      </c>
      <c r="E51" s="14">
        <v>2657.259821</v>
      </c>
      <c r="F51" s="14">
        <v>18.395134</v>
      </c>
      <c r="G51" s="14">
        <v>43.211308</v>
      </c>
      <c r="H51" s="14">
        <v>34.51449</v>
      </c>
      <c r="I51" s="14">
        <v>1.0</v>
      </c>
      <c r="J51" s="14">
        <v>0.7820074432198264</v>
      </c>
      <c r="K51" s="14">
        <v>31788.821386</v>
      </c>
      <c r="L51" s="14">
        <v>0.7820074432198264</v>
      </c>
      <c r="M51" s="13"/>
      <c r="N51" s="14">
        <v>1.0</v>
      </c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14" t="s">
        <v>14</v>
      </c>
      <c r="B52" s="14" t="s">
        <v>40</v>
      </c>
      <c r="C52" s="14">
        <v>162.039016</v>
      </c>
      <c r="D52" s="14">
        <v>49.068304</v>
      </c>
      <c r="E52" s="14">
        <v>790.719489</v>
      </c>
      <c r="F52" s="14">
        <v>150.213244</v>
      </c>
      <c r="G52" s="14">
        <v>1.195148</v>
      </c>
      <c r="H52" s="14">
        <v>51.83014</v>
      </c>
      <c r="I52" s="14">
        <v>0.5256410256410257</v>
      </c>
      <c r="J52" s="14">
        <v>0.7588336912052365</v>
      </c>
      <c r="K52" s="14">
        <v>50.36533</v>
      </c>
      <c r="L52" s="14">
        <v>0.7588336912052365</v>
      </c>
      <c r="M52" s="13"/>
      <c r="N52" s="14">
        <v>1.0</v>
      </c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14" t="s">
        <v>16</v>
      </c>
      <c r="B53" s="14" t="s">
        <v>40</v>
      </c>
      <c r="C53" s="14">
        <v>162.039016</v>
      </c>
      <c r="D53" s="14">
        <v>34768.849675</v>
      </c>
      <c r="E53" s="14">
        <v>2961.945932</v>
      </c>
      <c r="F53" s="14">
        <v>18.840029</v>
      </c>
      <c r="G53" s="14">
        <v>72.380103</v>
      </c>
      <c r="H53" s="14">
        <v>31.659839</v>
      </c>
      <c r="I53" s="14">
        <v>1.0</v>
      </c>
      <c r="J53" s="14">
        <v>0.6119190421245482</v>
      </c>
      <c r="K53" s="14">
        <v>34841.318855</v>
      </c>
      <c r="L53" s="14">
        <v>0.6119190421245482</v>
      </c>
      <c r="M53" s="13"/>
      <c r="N53" s="14">
        <v>0.0</v>
      </c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14" t="s">
        <v>33</v>
      </c>
      <c r="B54" s="14" t="s">
        <v>40</v>
      </c>
      <c r="C54" s="14">
        <v>162.039016</v>
      </c>
      <c r="D54" s="14">
        <v>260.624879</v>
      </c>
      <c r="E54" s="14">
        <v>1665.529039</v>
      </c>
      <c r="F54" s="14">
        <v>0.568125</v>
      </c>
      <c r="G54" s="14">
        <v>35.885013</v>
      </c>
      <c r="H54" s="14">
        <v>32.917708</v>
      </c>
      <c r="I54" s="14">
        <v>1.0</v>
      </c>
      <c r="J54" s="14">
        <v>0.6896156174865535</v>
      </c>
      <c r="K54" s="14">
        <v>296.61177</v>
      </c>
      <c r="L54" s="14">
        <v>0.6896156174865535</v>
      </c>
      <c r="M54" s="13"/>
      <c r="N54" s="14">
        <v>0.0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4" t="s">
        <v>17</v>
      </c>
      <c r="B55" s="14" t="s">
        <v>40</v>
      </c>
      <c r="C55" s="14">
        <v>162.039016</v>
      </c>
      <c r="D55" s="13"/>
      <c r="E55" s="13"/>
      <c r="F55" s="13"/>
      <c r="G55" s="13"/>
      <c r="H55" s="13"/>
      <c r="I55" s="13"/>
      <c r="J55" s="13"/>
      <c r="K55" s="14">
        <v>0.137427</v>
      </c>
      <c r="L55" s="14">
        <v>0.4340007147880677</v>
      </c>
      <c r="M55" s="14" t="s">
        <v>70</v>
      </c>
      <c r="N55" s="14">
        <v>0.0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14" t="s">
        <v>18</v>
      </c>
      <c r="B56" s="14" t="s">
        <v>40</v>
      </c>
      <c r="C56" s="14">
        <v>162.039016</v>
      </c>
      <c r="D56" s="14">
        <v>14943.201608</v>
      </c>
      <c r="E56" s="14">
        <v>2657.27821</v>
      </c>
      <c r="F56" s="14">
        <v>8.612153</v>
      </c>
      <c r="G56" s="14">
        <v>34.109669</v>
      </c>
      <c r="H56" s="14">
        <v>37.18000300000001</v>
      </c>
      <c r="I56" s="14">
        <v>1.0</v>
      </c>
      <c r="J56" s="14">
        <v>0.8719801650843582</v>
      </c>
      <c r="K56" s="14">
        <v>14977.413155</v>
      </c>
      <c r="L56" s="14">
        <v>0.8719801650843582</v>
      </c>
      <c r="M56" s="13"/>
      <c r="N56" s="14">
        <v>1.0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14" t="s">
        <v>19</v>
      </c>
      <c r="B57" s="14" t="s">
        <v>40</v>
      </c>
      <c r="C57" s="14">
        <v>162.039016</v>
      </c>
      <c r="D57" s="14">
        <v>0.743468</v>
      </c>
      <c r="E57" s="14">
        <v>790.620308</v>
      </c>
      <c r="F57" s="14">
        <v>150.190464</v>
      </c>
      <c r="G57" s="14">
        <v>0.463446</v>
      </c>
      <c r="H57" s="14">
        <v>43.762349</v>
      </c>
      <c r="I57" s="14">
        <v>1.0</v>
      </c>
      <c r="J57" s="14">
        <v>0.603420933256513</v>
      </c>
      <c r="K57" s="14">
        <v>1.295991</v>
      </c>
      <c r="L57" s="14">
        <v>0.603420933256513</v>
      </c>
      <c r="M57" s="13"/>
      <c r="N57" s="14">
        <v>0.0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14" t="s">
        <v>13</v>
      </c>
      <c r="B58" s="14" t="s">
        <v>41</v>
      </c>
      <c r="C58" s="14">
        <v>18.712096</v>
      </c>
      <c r="D58" s="14">
        <v>1844.177537</v>
      </c>
      <c r="E58" s="14">
        <v>272.175024</v>
      </c>
      <c r="F58" s="14">
        <v>3.065492</v>
      </c>
      <c r="G58" s="14">
        <v>3.629095</v>
      </c>
      <c r="H58" s="14">
        <v>11.48383</v>
      </c>
      <c r="I58" s="14">
        <v>1.0</v>
      </c>
      <c r="J58" s="14">
        <v>0.9585146392039854</v>
      </c>
      <c r="K58" s="14">
        <v>1847.898008</v>
      </c>
      <c r="L58" s="14">
        <v>0.9585146392039854</v>
      </c>
      <c r="M58" s="13"/>
      <c r="N58" s="14">
        <v>1.0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14" t="s">
        <v>14</v>
      </c>
      <c r="B59" s="14" t="s">
        <v>41</v>
      </c>
      <c r="C59" s="14">
        <v>18.712096</v>
      </c>
      <c r="D59" s="14">
        <v>15.802105</v>
      </c>
      <c r="E59" s="14">
        <v>94.614374</v>
      </c>
      <c r="F59" s="14">
        <v>18.751844</v>
      </c>
      <c r="G59" s="14">
        <v>0.224436</v>
      </c>
      <c r="H59" s="14">
        <v>13.893226</v>
      </c>
      <c r="I59" s="14">
        <v>0.5</v>
      </c>
      <c r="J59" s="14">
        <v>0.8105251658089374</v>
      </c>
      <c r="K59" s="14">
        <v>16.128419</v>
      </c>
      <c r="L59" s="14">
        <v>0.8105251658089374</v>
      </c>
      <c r="M59" s="13"/>
      <c r="N59" s="14">
        <v>0.0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14" t="s">
        <v>16</v>
      </c>
      <c r="B60" s="14" t="s">
        <v>41</v>
      </c>
      <c r="C60" s="14">
        <v>18.712096</v>
      </c>
      <c r="D60" s="14">
        <v>2005.126063</v>
      </c>
      <c r="E60" s="14">
        <v>320.959614</v>
      </c>
      <c r="F60" s="14">
        <v>3.796645</v>
      </c>
      <c r="G60" s="14">
        <v>7.843599</v>
      </c>
      <c r="H60" s="14">
        <v>11.339986</v>
      </c>
      <c r="I60" s="14">
        <v>1.0</v>
      </c>
      <c r="J60" s="14">
        <v>0.924008248697574</v>
      </c>
      <c r="K60" s="14">
        <v>2013.058739</v>
      </c>
      <c r="L60" s="14">
        <v>0.924008248697574</v>
      </c>
      <c r="M60" s="13"/>
      <c r="N60" s="14">
        <v>1.0</v>
      </c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14" t="s">
        <v>33</v>
      </c>
      <c r="B61" s="14" t="s">
        <v>41</v>
      </c>
      <c r="C61" s="14">
        <v>18.712096</v>
      </c>
      <c r="D61" s="14">
        <v>42.389287</v>
      </c>
      <c r="E61" s="14">
        <v>193.004936</v>
      </c>
      <c r="F61" s="14">
        <v>0.780758</v>
      </c>
      <c r="G61" s="14">
        <v>4.734066</v>
      </c>
      <c r="H61" s="14">
        <v>10.4996</v>
      </c>
      <c r="I61" s="14">
        <v>1.0</v>
      </c>
      <c r="J61" s="14">
        <v>0.8689819291242673</v>
      </c>
      <c r="K61" s="14">
        <v>47.225231</v>
      </c>
      <c r="L61" s="14">
        <v>0.8689819291242673</v>
      </c>
      <c r="M61" s="13"/>
      <c r="N61" s="14">
        <v>0.0</v>
      </c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14" t="s">
        <v>17</v>
      </c>
      <c r="B62" s="14" t="s">
        <v>41</v>
      </c>
      <c r="C62" s="14">
        <v>18.712096</v>
      </c>
      <c r="D62" s="13"/>
      <c r="E62" s="13"/>
      <c r="F62" s="13"/>
      <c r="G62" s="13"/>
      <c r="H62" s="13"/>
      <c r="I62" s="13"/>
      <c r="J62" s="13"/>
      <c r="K62" s="14">
        <v>0.137427</v>
      </c>
      <c r="L62" s="14">
        <v>0.4340007147880677</v>
      </c>
      <c r="M62" s="14" t="s">
        <v>68</v>
      </c>
      <c r="N62" s="14">
        <v>0.0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14" t="s">
        <v>18</v>
      </c>
      <c r="B63" s="14" t="s">
        <v>41</v>
      </c>
      <c r="C63" s="14">
        <v>18.712096</v>
      </c>
      <c r="D63" s="14">
        <v>1425.108941</v>
      </c>
      <c r="E63" s="14">
        <v>272.188011</v>
      </c>
      <c r="F63" s="14">
        <v>2.687627</v>
      </c>
      <c r="G63" s="14">
        <v>2.631622</v>
      </c>
      <c r="H63" s="14">
        <v>9.657814</v>
      </c>
      <c r="I63" s="14">
        <v>1.0</v>
      </c>
      <c r="J63" s="14">
        <v>0.9332505991219198</v>
      </c>
      <c r="K63" s="14">
        <v>1427.842441</v>
      </c>
      <c r="L63" s="14">
        <v>0.9332505991219198</v>
      </c>
      <c r="M63" s="13"/>
      <c r="N63" s="14">
        <v>1.0</v>
      </c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14" t="s">
        <v>19</v>
      </c>
      <c r="B64" s="14" t="s">
        <v>41</v>
      </c>
      <c r="C64" s="14">
        <v>18.712096</v>
      </c>
      <c r="D64" s="14">
        <v>0.25967</v>
      </c>
      <c r="E64" s="14">
        <v>94.46085</v>
      </c>
      <c r="F64" s="14">
        <v>18.715492</v>
      </c>
      <c r="G64" s="14">
        <v>0.077821</v>
      </c>
      <c r="H64" s="14">
        <v>12.683264</v>
      </c>
      <c r="I64" s="14">
        <v>1.0</v>
      </c>
      <c r="J64" s="14">
        <v>0.7405637769330489</v>
      </c>
      <c r="K64" s="14">
        <v>0.426568</v>
      </c>
      <c r="L64" s="14">
        <v>0.7405637769330489</v>
      </c>
      <c r="M64" s="13"/>
      <c r="N64" s="14">
        <v>0.0</v>
      </c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7" width="8.63"/>
  </cols>
  <sheetData>
    <row r="1">
      <c r="A1" s="12" t="s">
        <v>0</v>
      </c>
      <c r="B1" s="12" t="s">
        <v>42</v>
      </c>
      <c r="C1" s="12" t="s">
        <v>28</v>
      </c>
      <c r="D1" s="12" t="s">
        <v>43</v>
      </c>
      <c r="E1" s="12" t="s">
        <v>44</v>
      </c>
      <c r="F1" s="12" t="s">
        <v>45</v>
      </c>
      <c r="G1" s="12" t="s">
        <v>46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4" t="s">
        <v>47</v>
      </c>
      <c r="B2" s="14">
        <v>6.861451</v>
      </c>
      <c r="C2" s="14">
        <v>0.5523385148727864</v>
      </c>
      <c r="D2" s="14">
        <v>0.8364159662399919</v>
      </c>
      <c r="E2" s="14" t="b">
        <v>1</v>
      </c>
      <c r="F2" s="14" t="s">
        <v>48</v>
      </c>
      <c r="G2" s="14" t="s">
        <v>49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50</v>
      </c>
      <c r="B3" s="14">
        <v>164.120893</v>
      </c>
      <c r="C3" s="14">
        <v>0.8029129828259545</v>
      </c>
      <c r="D3" s="14">
        <v>2.215163871345796</v>
      </c>
      <c r="E3" s="14" t="b">
        <v>1</v>
      </c>
      <c r="F3" s="14" t="s">
        <v>48</v>
      </c>
      <c r="G3" s="14" t="s">
        <v>51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52</v>
      </c>
      <c r="B4" s="14">
        <v>1216.030677</v>
      </c>
      <c r="C4" s="14">
        <v>0.8411841605426035</v>
      </c>
      <c r="D4" s="14">
        <v>3.084944531091133</v>
      </c>
      <c r="E4" s="14" t="b">
        <v>1</v>
      </c>
      <c r="F4" s="14" t="s">
        <v>48</v>
      </c>
      <c r="G4" s="14" t="s">
        <v>53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54</v>
      </c>
      <c r="B5" s="14">
        <v>47931.735647</v>
      </c>
      <c r="C5" s="14">
        <v>0.9004582959979872</v>
      </c>
      <c r="D5" s="14">
        <v>4.680623155431741</v>
      </c>
      <c r="E5" s="14" t="b">
        <v>1</v>
      </c>
      <c r="F5" s="14" t="s">
        <v>48</v>
      </c>
      <c r="G5" s="14" t="s">
        <v>55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56</v>
      </c>
      <c r="B6" s="14">
        <v>112269.63319</v>
      </c>
      <c r="C6" s="14">
        <v>0.8732605478341368</v>
      </c>
      <c r="D6" s="14">
        <v>5.050262303710914</v>
      </c>
      <c r="E6" s="14" t="b">
        <v>0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59</v>
      </c>
      <c r="B7" s="14">
        <v>120453.58431</v>
      </c>
      <c r="C7" s="14">
        <v>0.825333285375822</v>
      </c>
      <c r="D7" s="14">
        <v>5.080819727729081</v>
      </c>
      <c r="E7" s="14" t="b">
        <v>0</v>
      </c>
      <c r="F7" s="14" t="s">
        <v>57</v>
      </c>
      <c r="G7" s="14" t="s">
        <v>60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61</v>
      </c>
      <c r="B8" s="14">
        <v>635086.814483</v>
      </c>
      <c r="C8" s="14">
        <v>0.6314866655746016</v>
      </c>
      <c r="D8" s="14">
        <v>5.802833096116938</v>
      </c>
      <c r="E8" s="14" t="b">
        <v>0</v>
      </c>
      <c r="F8" s="14" t="s">
        <v>57</v>
      </c>
      <c r="G8" s="14" t="s">
        <v>62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4" width="8.63"/>
  </cols>
  <sheetData>
    <row r="1">
      <c r="A1" s="12" t="s">
        <v>0</v>
      </c>
      <c r="B1" s="12" t="s">
        <v>20</v>
      </c>
      <c r="C1" s="12" t="s">
        <v>21</v>
      </c>
      <c r="D1" s="12" t="s">
        <v>22</v>
      </c>
      <c r="E1" s="12" t="s">
        <v>23</v>
      </c>
      <c r="F1" s="12" t="s">
        <v>24</v>
      </c>
      <c r="G1" s="12" t="s">
        <v>25</v>
      </c>
      <c r="H1" s="12" t="s">
        <v>26</v>
      </c>
      <c r="I1" s="12" t="s">
        <v>27</v>
      </c>
      <c r="J1" s="12" t="s">
        <v>28</v>
      </c>
      <c r="K1" s="12" t="s">
        <v>29</v>
      </c>
      <c r="L1" s="12" t="s">
        <v>30</v>
      </c>
      <c r="M1" s="12" t="s">
        <v>63</v>
      </c>
      <c r="N1" s="12" t="s">
        <v>31</v>
      </c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4" t="s">
        <v>13</v>
      </c>
      <c r="B2" s="14" t="s">
        <v>32</v>
      </c>
      <c r="C2" s="14">
        <v>3.907448</v>
      </c>
      <c r="D2" s="14">
        <v>1249.709347</v>
      </c>
      <c r="E2" s="14">
        <v>128.401945</v>
      </c>
      <c r="F2" s="14">
        <v>4.000028</v>
      </c>
      <c r="G2" s="14">
        <v>1.145513</v>
      </c>
      <c r="H2" s="14">
        <v>1.758891</v>
      </c>
      <c r="I2" s="14">
        <v>1.0</v>
      </c>
      <c r="J2" s="14">
        <v>0.8744849830572201</v>
      </c>
      <c r="K2" s="14">
        <v>1250.946165</v>
      </c>
      <c r="L2" s="14">
        <v>0.8744849830572201</v>
      </c>
      <c r="M2" s="13"/>
      <c r="N2" s="14">
        <v>1.0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14</v>
      </c>
      <c r="B3" s="14" t="s">
        <v>32</v>
      </c>
      <c r="C3" s="14">
        <v>3.907448</v>
      </c>
      <c r="D3" s="14">
        <v>1.675224</v>
      </c>
      <c r="E3" s="14">
        <v>19.137788</v>
      </c>
      <c r="F3" s="14">
        <v>2.157449</v>
      </c>
      <c r="G3" s="14">
        <v>0.048201</v>
      </c>
      <c r="H3" s="14">
        <v>1.668096</v>
      </c>
      <c r="I3" s="14">
        <v>0.7142857142857143</v>
      </c>
      <c r="J3" s="14">
        <v>0.8982760338728009</v>
      </c>
      <c r="K3" s="14">
        <v>1.824811</v>
      </c>
      <c r="L3" s="14">
        <v>0.8982760338728009</v>
      </c>
      <c r="M3" s="13"/>
      <c r="N3" s="14">
        <v>1.0</v>
      </c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16</v>
      </c>
      <c r="B4" s="14" t="s">
        <v>32</v>
      </c>
      <c r="C4" s="14">
        <v>3.907448</v>
      </c>
      <c r="D4" s="14">
        <v>1207.088745</v>
      </c>
      <c r="E4" s="14">
        <v>129.287054</v>
      </c>
      <c r="F4" s="14">
        <v>4.053853</v>
      </c>
      <c r="G4" s="14">
        <v>1.450908</v>
      </c>
      <c r="H4" s="14">
        <v>1.722197</v>
      </c>
      <c r="I4" s="14">
        <v>1.0</v>
      </c>
      <c r="J4" s="14">
        <v>0.8836166659310389</v>
      </c>
      <c r="K4" s="14">
        <v>1208.629543</v>
      </c>
      <c r="L4" s="14">
        <v>0.8836166659310389</v>
      </c>
      <c r="M4" s="13"/>
      <c r="N4" s="14">
        <v>1.0</v>
      </c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33</v>
      </c>
      <c r="B5" s="14" t="s">
        <v>32</v>
      </c>
      <c r="C5" s="14">
        <v>3.907448</v>
      </c>
      <c r="D5" s="14">
        <v>14.380635</v>
      </c>
      <c r="E5" s="14">
        <v>40.83161</v>
      </c>
      <c r="F5" s="14">
        <v>0.259801</v>
      </c>
      <c r="G5" s="14">
        <v>0.974393</v>
      </c>
      <c r="H5" s="14">
        <v>1.67746</v>
      </c>
      <c r="I5" s="14">
        <v>1.0</v>
      </c>
      <c r="J5" s="14">
        <v>0.8437299459168182</v>
      </c>
      <c r="K5" s="14">
        <v>15.456414</v>
      </c>
      <c r="L5" s="14">
        <v>0.8437299459168182</v>
      </c>
      <c r="M5" s="13"/>
      <c r="N5" s="14">
        <v>0.0</v>
      </c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17</v>
      </c>
      <c r="B6" s="14" t="s">
        <v>32</v>
      </c>
      <c r="C6" s="14">
        <v>3.907448</v>
      </c>
      <c r="D6" s="14">
        <v>17475.404222</v>
      </c>
      <c r="E6" s="14">
        <v>1994.816914</v>
      </c>
      <c r="F6" s="14">
        <v>180.572057</v>
      </c>
      <c r="G6" s="14">
        <v>373.882537</v>
      </c>
      <c r="H6" s="14">
        <v>2.324297</v>
      </c>
      <c r="I6" s="14">
        <v>0.99997747816918</v>
      </c>
      <c r="J6" s="14">
        <v>0.934890489257593</v>
      </c>
      <c r="K6" s="14">
        <v>17849.388154</v>
      </c>
      <c r="L6" s="14">
        <v>0.934890489257593</v>
      </c>
      <c r="M6" s="13"/>
      <c r="N6" s="14">
        <v>1.0</v>
      </c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18</v>
      </c>
      <c r="B7" s="14" t="s">
        <v>32</v>
      </c>
      <c r="C7" s="14">
        <v>3.907448</v>
      </c>
      <c r="D7" s="14">
        <v>493.301913</v>
      </c>
      <c r="E7" s="14">
        <v>128.393035</v>
      </c>
      <c r="F7" s="14">
        <v>1.110118</v>
      </c>
      <c r="G7" s="14">
        <v>0.728612</v>
      </c>
      <c r="H7" s="14">
        <v>1.692707</v>
      </c>
      <c r="I7" s="14">
        <v>1.0</v>
      </c>
      <c r="J7" s="14">
        <v>0.879530160846206</v>
      </c>
      <c r="K7" s="14">
        <v>494.131911</v>
      </c>
      <c r="L7" s="14">
        <v>0.879530160846206</v>
      </c>
      <c r="M7" s="13"/>
      <c r="N7" s="14">
        <v>1.0</v>
      </c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19</v>
      </c>
      <c r="B8" s="14" t="s">
        <v>32</v>
      </c>
      <c r="C8" s="14">
        <v>3.907448</v>
      </c>
      <c r="D8" s="14">
        <v>0.101386</v>
      </c>
      <c r="E8" s="14">
        <v>19.134661</v>
      </c>
      <c r="F8" s="14">
        <v>2.152501</v>
      </c>
      <c r="G8" s="14">
        <v>0.041012</v>
      </c>
      <c r="H8" s="14">
        <v>1.626212</v>
      </c>
      <c r="I8" s="14">
        <v>1.0</v>
      </c>
      <c r="J8" s="14">
        <v>0.4331348207048688</v>
      </c>
      <c r="K8" s="14">
        <v>0.243784</v>
      </c>
      <c r="L8" s="14">
        <v>0.4331348207048688</v>
      </c>
      <c r="M8" s="13"/>
      <c r="N8" s="14">
        <v>0.0</v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13</v>
      </c>
      <c r="B9" s="14" t="s">
        <v>34</v>
      </c>
      <c r="C9" s="14">
        <v>4.520128</v>
      </c>
      <c r="D9" s="14">
        <v>906.55174</v>
      </c>
      <c r="E9" s="14">
        <v>55.863865</v>
      </c>
      <c r="F9" s="14">
        <v>7.689455</v>
      </c>
      <c r="G9" s="14">
        <v>1.457576</v>
      </c>
      <c r="H9" s="14">
        <v>7.095945</v>
      </c>
      <c r="I9" s="14">
        <v>1.0</v>
      </c>
      <c r="J9" s="14">
        <v>0.9325355855855856</v>
      </c>
      <c r="K9" s="14">
        <v>908.100621</v>
      </c>
      <c r="L9" s="14">
        <v>0.9325355855855856</v>
      </c>
      <c r="M9" s="13"/>
      <c r="N9" s="14">
        <v>0.0</v>
      </c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14</v>
      </c>
      <c r="B10" s="14" t="s">
        <v>34</v>
      </c>
      <c r="C10" s="14">
        <v>4.520128</v>
      </c>
      <c r="D10" s="14">
        <v>9.106099</v>
      </c>
      <c r="E10" s="14">
        <v>30.00516</v>
      </c>
      <c r="F10" s="14">
        <v>4.423415</v>
      </c>
      <c r="G10" s="14">
        <v>0.289288</v>
      </c>
      <c r="H10" s="14">
        <v>7.002536</v>
      </c>
      <c r="I10" s="14">
        <v>1.0</v>
      </c>
      <c r="J10" s="14">
        <v>0.9781061936936936</v>
      </c>
      <c r="K10" s="14">
        <v>9.496773</v>
      </c>
      <c r="L10" s="14">
        <v>0.9781061936936936</v>
      </c>
      <c r="M10" s="13"/>
      <c r="N10" s="14">
        <v>0.0</v>
      </c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16</v>
      </c>
      <c r="B11" s="14" t="s">
        <v>34</v>
      </c>
      <c r="C11" s="14">
        <v>4.520128</v>
      </c>
      <c r="D11" s="14">
        <v>776.23486</v>
      </c>
      <c r="E11" s="14">
        <v>60.399041</v>
      </c>
      <c r="F11" s="14">
        <v>7.690895</v>
      </c>
      <c r="G11" s="14">
        <v>1.206314</v>
      </c>
      <c r="H11" s="14">
        <v>6.453586</v>
      </c>
      <c r="I11" s="14">
        <v>1.0</v>
      </c>
      <c r="J11" s="14">
        <v>0.8943951201201201</v>
      </c>
      <c r="K11" s="14">
        <v>777.531064</v>
      </c>
      <c r="L11" s="14">
        <v>0.8943951201201201</v>
      </c>
      <c r="M11" s="13"/>
      <c r="N11" s="14">
        <v>0.0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33</v>
      </c>
      <c r="B12" s="14" t="s">
        <v>34</v>
      </c>
      <c r="C12" s="14">
        <v>4.520128</v>
      </c>
      <c r="D12" s="14">
        <v>31.671538</v>
      </c>
      <c r="E12" s="14">
        <v>61.442546</v>
      </c>
      <c r="F12" s="14">
        <v>0.509163</v>
      </c>
      <c r="G12" s="14">
        <v>1.701317</v>
      </c>
      <c r="H12" s="14">
        <v>7.017273</v>
      </c>
      <c r="I12" s="14">
        <v>1.0</v>
      </c>
      <c r="J12" s="14">
        <v>0.9823706831831832</v>
      </c>
      <c r="K12" s="14">
        <v>33.47424100000001</v>
      </c>
      <c r="L12" s="14">
        <v>0.9823706831831832</v>
      </c>
      <c r="M12" s="13"/>
      <c r="N12" s="14">
        <v>0.0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17</v>
      </c>
      <c r="B13" s="14" t="s">
        <v>34</v>
      </c>
      <c r="C13" s="14">
        <v>4.520128</v>
      </c>
      <c r="D13" s="14">
        <v>8981.151401</v>
      </c>
      <c r="E13" s="14">
        <v>739.540901</v>
      </c>
      <c r="F13" s="14">
        <v>179.965374</v>
      </c>
      <c r="G13" s="14">
        <v>280.269785</v>
      </c>
      <c r="H13" s="14">
        <v>9.6456</v>
      </c>
      <c r="I13" s="14">
        <v>1.0</v>
      </c>
      <c r="J13" s="14">
        <v>0.650246509009009</v>
      </c>
      <c r="K13" s="14">
        <v>9261.522581</v>
      </c>
      <c r="L13" s="14">
        <v>0.650246509009009</v>
      </c>
      <c r="M13" s="13"/>
      <c r="N13" s="14">
        <v>0.0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18</v>
      </c>
      <c r="B14" s="14" t="s">
        <v>34</v>
      </c>
      <c r="C14" s="14">
        <v>4.520128</v>
      </c>
      <c r="D14" s="14">
        <v>246.098137</v>
      </c>
      <c r="E14" s="14">
        <v>55.827992</v>
      </c>
      <c r="F14" s="14">
        <v>1.162253</v>
      </c>
      <c r="G14" s="14">
        <v>1.058027</v>
      </c>
      <c r="H14" s="14">
        <v>7.01728</v>
      </c>
      <c r="I14" s="14">
        <v>1.0</v>
      </c>
      <c r="J14" s="14">
        <v>0.9708985735735736</v>
      </c>
      <c r="K14" s="14">
        <v>247.25755</v>
      </c>
      <c r="L14" s="14">
        <v>0.9708985735735736</v>
      </c>
      <c r="M14" s="13"/>
      <c r="N14" s="14">
        <v>0.0</v>
      </c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19</v>
      </c>
      <c r="B15" s="14" t="s">
        <v>34</v>
      </c>
      <c r="C15" s="14">
        <v>4.520128</v>
      </c>
      <c r="D15" s="14">
        <v>0.208906</v>
      </c>
      <c r="E15" s="14">
        <v>23.058414</v>
      </c>
      <c r="F15" s="14">
        <v>1.895559</v>
      </c>
      <c r="G15" s="14">
        <v>0.063893</v>
      </c>
      <c r="H15" s="14">
        <v>7.018445</v>
      </c>
      <c r="I15" s="14">
        <v>1.0</v>
      </c>
      <c r="J15" s="14">
        <v>0.5029280780780782</v>
      </c>
      <c r="K15" s="14">
        <v>0.374185</v>
      </c>
      <c r="L15" s="14">
        <v>0.5029280780780782</v>
      </c>
      <c r="M15" s="13"/>
      <c r="N15" s="14">
        <v>0.0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13</v>
      </c>
      <c r="B16" s="14" t="s">
        <v>35</v>
      </c>
      <c r="C16" s="14">
        <v>98.165608</v>
      </c>
      <c r="D16" s="14">
        <v>35218.669493</v>
      </c>
      <c r="E16" s="14">
        <v>3571.094598</v>
      </c>
      <c r="F16" s="14">
        <v>73.79243</v>
      </c>
      <c r="G16" s="14">
        <v>25.30791</v>
      </c>
      <c r="H16" s="14">
        <v>38.404658</v>
      </c>
      <c r="I16" s="14">
        <v>1.0</v>
      </c>
      <c r="J16" s="14">
        <v>0.8804962886201475</v>
      </c>
      <c r="K16" s="14">
        <v>35244.06870800001</v>
      </c>
      <c r="L16" s="14">
        <v>0.8804962886201475</v>
      </c>
      <c r="M16" s="13"/>
      <c r="N16" s="14">
        <v>0.0</v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14</v>
      </c>
      <c r="B17" s="14" t="s">
        <v>35</v>
      </c>
      <c r="C17" s="14">
        <v>98.165608</v>
      </c>
      <c r="D17" s="14">
        <v>18.749092</v>
      </c>
      <c r="E17" s="14">
        <v>469.513396</v>
      </c>
      <c r="F17" s="14">
        <v>71.722614</v>
      </c>
      <c r="G17" s="14">
        <v>0.894306</v>
      </c>
      <c r="H17" s="14">
        <v>37.24455500000001</v>
      </c>
      <c r="I17" s="14">
        <v>0.7735849056603774</v>
      </c>
      <c r="J17" s="14">
        <v>0.8907054153491964</v>
      </c>
      <c r="K17" s="14">
        <v>19.744784</v>
      </c>
      <c r="L17" s="14">
        <v>0.8907054153491964</v>
      </c>
      <c r="M17" s="13"/>
      <c r="N17" s="14">
        <v>1.0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16</v>
      </c>
      <c r="B18" s="14" t="s">
        <v>35</v>
      </c>
      <c r="C18" s="14">
        <v>98.165608</v>
      </c>
      <c r="D18" s="14">
        <v>37274.98559</v>
      </c>
      <c r="E18" s="14">
        <v>3619.114037</v>
      </c>
      <c r="F18" s="14">
        <v>73.897578</v>
      </c>
      <c r="G18" s="14">
        <v>30.654461</v>
      </c>
      <c r="H18" s="14">
        <v>39.854456</v>
      </c>
      <c r="I18" s="14">
        <v>1.0</v>
      </c>
      <c r="J18" s="14">
        <v>0.8982849727008074</v>
      </c>
      <c r="K18" s="14">
        <v>37305.729941</v>
      </c>
      <c r="L18" s="14">
        <v>0.8982849727008074</v>
      </c>
      <c r="M18" s="13"/>
      <c r="N18" s="14">
        <v>1.0</v>
      </c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33</v>
      </c>
      <c r="B19" s="14" t="s">
        <v>35</v>
      </c>
      <c r="C19" s="14">
        <v>98.165608</v>
      </c>
      <c r="D19" s="14">
        <v>315.070894</v>
      </c>
      <c r="E19" s="14">
        <v>1009.334165</v>
      </c>
      <c r="F19" s="14">
        <v>0.593195</v>
      </c>
      <c r="G19" s="14">
        <v>22.866927</v>
      </c>
      <c r="H19" s="14">
        <v>37.162967</v>
      </c>
      <c r="I19" s="14">
        <v>1.0</v>
      </c>
      <c r="J19" s="14">
        <v>0.8838779403360657</v>
      </c>
      <c r="K19" s="14">
        <v>338.039207</v>
      </c>
      <c r="L19" s="14">
        <v>0.8838779403360657</v>
      </c>
      <c r="M19" s="13"/>
      <c r="N19" s="14">
        <v>0.0</v>
      </c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17</v>
      </c>
      <c r="B20" s="14" t="s">
        <v>35</v>
      </c>
      <c r="C20" s="14">
        <v>98.165608</v>
      </c>
      <c r="D20" s="14">
        <v>247861.825669</v>
      </c>
      <c r="E20" s="14">
        <v>7515.973042</v>
      </c>
      <c r="F20" s="14">
        <v>181.749781</v>
      </c>
      <c r="G20" s="14">
        <v>7262.280406</v>
      </c>
      <c r="H20" s="14">
        <v>80.591834</v>
      </c>
      <c r="I20" s="14">
        <v>0.9999992257970928</v>
      </c>
      <c r="J20" s="14">
        <v>0.9673627160542336</v>
      </c>
      <c r="K20" s="14">
        <v>255124.20747</v>
      </c>
      <c r="L20" s="14">
        <v>0.9673627160542336</v>
      </c>
      <c r="M20" s="13"/>
      <c r="N20" s="14">
        <v>1.0</v>
      </c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14" t="s">
        <v>18</v>
      </c>
      <c r="B21" s="14" t="s">
        <v>35</v>
      </c>
      <c r="C21" s="14">
        <v>98.165608</v>
      </c>
      <c r="D21" s="14">
        <v>9192.380051</v>
      </c>
      <c r="E21" s="14">
        <v>3571.089625</v>
      </c>
      <c r="F21" s="14">
        <v>5.653586</v>
      </c>
      <c r="G21" s="14">
        <v>14.569533</v>
      </c>
      <c r="H21" s="14">
        <v>38.119701</v>
      </c>
      <c r="I21" s="14">
        <v>1.0</v>
      </c>
      <c r="J21" s="14">
        <v>0.9082854166816016</v>
      </c>
      <c r="K21" s="14">
        <v>9207.05097</v>
      </c>
      <c r="L21" s="14">
        <v>0.9082854166816016</v>
      </c>
      <c r="M21" s="13"/>
      <c r="N21" s="14">
        <v>1.0</v>
      </c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14" t="s">
        <v>19</v>
      </c>
      <c r="B22" s="14" t="s">
        <v>35</v>
      </c>
      <c r="C22" s="14">
        <v>98.165608</v>
      </c>
      <c r="D22" s="14">
        <v>1.115639</v>
      </c>
      <c r="E22" s="14">
        <v>469.469939</v>
      </c>
      <c r="F22" s="14">
        <v>71.713894</v>
      </c>
      <c r="G22" s="14">
        <v>0.88022</v>
      </c>
      <c r="H22" s="14">
        <v>35.79352900000001</v>
      </c>
      <c r="I22" s="14">
        <v>1.0</v>
      </c>
      <c r="J22" s="14">
        <v>0.3418419122212885</v>
      </c>
      <c r="K22" s="14">
        <v>2.097245</v>
      </c>
      <c r="L22" s="14">
        <v>0.3418419122212885</v>
      </c>
      <c r="M22" s="13"/>
      <c r="N22" s="14">
        <v>0.0</v>
      </c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14" t="s">
        <v>13</v>
      </c>
      <c r="B23" s="14" t="s">
        <v>36</v>
      </c>
      <c r="C23" s="14">
        <v>3.200128</v>
      </c>
      <c r="D23" s="14">
        <v>613.743135</v>
      </c>
      <c r="E23" s="14">
        <v>32.673342</v>
      </c>
      <c r="F23" s="14">
        <v>4.45017</v>
      </c>
      <c r="G23" s="14">
        <v>0.691078</v>
      </c>
      <c r="H23" s="14">
        <v>2.396382</v>
      </c>
      <c r="I23" s="14">
        <v>1.0</v>
      </c>
      <c r="J23" s="14">
        <v>0.9114679702711768</v>
      </c>
      <c r="K23" s="14">
        <v>614.525518</v>
      </c>
      <c r="L23" s="14">
        <v>0.9114679702711768</v>
      </c>
      <c r="M23" s="13"/>
      <c r="N23" s="14">
        <v>0.0</v>
      </c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14" t="s">
        <v>14</v>
      </c>
      <c r="B24" s="14" t="s">
        <v>36</v>
      </c>
      <c r="C24" s="14">
        <v>3.200128</v>
      </c>
      <c r="D24" s="14">
        <v>0.131946</v>
      </c>
      <c r="E24" s="14">
        <v>16.580662</v>
      </c>
      <c r="F24" s="14">
        <v>0.861281</v>
      </c>
      <c r="G24" s="14">
        <v>0.034941</v>
      </c>
      <c r="H24" s="14">
        <v>2.445796</v>
      </c>
      <c r="I24" s="14">
        <v>1.0</v>
      </c>
      <c r="J24" s="14">
        <v>0.9619920648326932</v>
      </c>
      <c r="K24" s="14">
        <v>0.268273</v>
      </c>
      <c r="L24" s="14">
        <v>0.9619920648326932</v>
      </c>
      <c r="M24" s="13"/>
      <c r="N24" s="14">
        <v>0.0</v>
      </c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14" t="s">
        <v>16</v>
      </c>
      <c r="B25" s="14" t="s">
        <v>36</v>
      </c>
      <c r="C25" s="14">
        <v>3.200128</v>
      </c>
      <c r="D25" s="14">
        <v>587.642751</v>
      </c>
      <c r="E25" s="14">
        <v>35.881179</v>
      </c>
      <c r="F25" s="14">
        <v>4.451127</v>
      </c>
      <c r="G25" s="14">
        <v>0.687114</v>
      </c>
      <c r="H25" s="14">
        <v>2.474511</v>
      </c>
      <c r="I25" s="14">
        <v>1.0</v>
      </c>
      <c r="J25" s="14">
        <v>0.917862742907932</v>
      </c>
      <c r="K25" s="14">
        <v>588.4197549999999</v>
      </c>
      <c r="L25" s="14">
        <v>0.917862742907932</v>
      </c>
      <c r="M25" s="13"/>
      <c r="N25" s="14">
        <v>0.0</v>
      </c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14" t="s">
        <v>33</v>
      </c>
      <c r="B26" s="14" t="s">
        <v>36</v>
      </c>
      <c r="C26" s="14">
        <v>3.200128</v>
      </c>
      <c r="D26" s="14">
        <v>14.1385</v>
      </c>
      <c r="E26" s="14">
        <v>33.337465</v>
      </c>
      <c r="F26" s="14">
        <v>0.308554</v>
      </c>
      <c r="G26" s="14">
        <v>0.839335</v>
      </c>
      <c r="H26" s="14">
        <v>2.452855</v>
      </c>
      <c r="I26" s="14">
        <v>1.0</v>
      </c>
      <c r="J26" s="14">
        <v>0.9672384890746114</v>
      </c>
      <c r="K26" s="14">
        <v>15.079221</v>
      </c>
      <c r="L26" s="14">
        <v>0.9672384890746114</v>
      </c>
      <c r="M26" s="13"/>
      <c r="N26" s="14">
        <v>0.0</v>
      </c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14" t="s">
        <v>17</v>
      </c>
      <c r="B27" s="14" t="s">
        <v>36</v>
      </c>
      <c r="C27" s="14">
        <v>3.200128</v>
      </c>
      <c r="D27" s="14">
        <v>6066.89088</v>
      </c>
      <c r="E27" s="14">
        <v>728.985114</v>
      </c>
      <c r="F27" s="14">
        <v>179.823617</v>
      </c>
      <c r="G27" s="14">
        <v>135.972801</v>
      </c>
      <c r="H27" s="14">
        <v>3.004524</v>
      </c>
      <c r="I27" s="14">
        <v>1.0</v>
      </c>
      <c r="J27" s="14">
        <v>0.9608767019102408</v>
      </c>
      <c r="K27" s="14">
        <v>6202.965076</v>
      </c>
      <c r="L27" s="14">
        <v>0.9608767019102408</v>
      </c>
      <c r="M27" s="13"/>
      <c r="N27" s="14">
        <v>0.0</v>
      </c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14" t="s">
        <v>18</v>
      </c>
      <c r="B28" s="14" t="s">
        <v>36</v>
      </c>
      <c r="C28" s="14">
        <v>3.200128</v>
      </c>
      <c r="D28" s="14">
        <v>214.524444</v>
      </c>
      <c r="E28" s="14">
        <v>32.657658</v>
      </c>
      <c r="F28" s="14">
        <v>0.860053</v>
      </c>
      <c r="G28" s="14">
        <v>0.49554</v>
      </c>
      <c r="H28" s="14">
        <v>2.476266</v>
      </c>
      <c r="I28" s="14">
        <v>1.0</v>
      </c>
      <c r="J28" s="14">
        <v>0.962616197448877</v>
      </c>
      <c r="K28" s="14">
        <v>215.12137</v>
      </c>
      <c r="L28" s="14">
        <v>0.962616197448877</v>
      </c>
      <c r="M28" s="13"/>
      <c r="N28" s="14">
        <v>0.0</v>
      </c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14" t="s">
        <v>19</v>
      </c>
      <c r="B29" s="14" t="s">
        <v>36</v>
      </c>
      <c r="C29" s="14">
        <v>3.200128</v>
      </c>
      <c r="D29" s="14">
        <v>0.121344</v>
      </c>
      <c r="E29" s="14">
        <v>16.582989</v>
      </c>
      <c r="F29" s="14">
        <v>0.861279</v>
      </c>
      <c r="G29" s="14">
        <v>0.039804</v>
      </c>
      <c r="H29" s="14">
        <v>2.458273</v>
      </c>
      <c r="I29" s="14">
        <v>1.0</v>
      </c>
      <c r="J29" s="14">
        <v>0.6792411578208268</v>
      </c>
      <c r="K29" s="14">
        <v>0.262534</v>
      </c>
      <c r="L29" s="14">
        <v>0.6792411578208268</v>
      </c>
      <c r="M29" s="13"/>
      <c r="N29" s="14">
        <v>0.0</v>
      </c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14" t="s">
        <v>13</v>
      </c>
      <c r="B30" s="14" t="s">
        <v>37</v>
      </c>
      <c r="C30" s="14">
        <v>255.645408</v>
      </c>
      <c r="D30" s="14">
        <v>40611.369926</v>
      </c>
      <c r="E30" s="14">
        <v>3483.212767</v>
      </c>
      <c r="F30" s="14">
        <v>7.503307</v>
      </c>
      <c r="G30" s="14">
        <v>46.490777</v>
      </c>
      <c r="H30" s="14">
        <v>80.331473</v>
      </c>
      <c r="I30" s="14">
        <v>1.0</v>
      </c>
      <c r="J30" s="14">
        <v>0.9393555250616076</v>
      </c>
      <c r="K30" s="14">
        <v>40657.952008</v>
      </c>
      <c r="L30" s="14">
        <v>0.9393555250616076</v>
      </c>
      <c r="M30" s="13"/>
      <c r="N30" s="14">
        <v>1.0</v>
      </c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14" t="s">
        <v>14</v>
      </c>
      <c r="B31" s="14" t="s">
        <v>37</v>
      </c>
      <c r="C31" s="14">
        <v>255.645408</v>
      </c>
      <c r="D31" s="14">
        <v>61.521505</v>
      </c>
      <c r="E31" s="14">
        <v>1287.905134</v>
      </c>
      <c r="F31" s="14">
        <v>255.674697</v>
      </c>
      <c r="G31" s="14">
        <v>1.852562</v>
      </c>
      <c r="H31" s="14">
        <v>3538.56206</v>
      </c>
      <c r="I31" s="14">
        <v>0.4927314128389149</v>
      </c>
      <c r="J31" s="14">
        <v>0.7157420267802229</v>
      </c>
      <c r="K31" s="14">
        <v>63.475453</v>
      </c>
      <c r="L31" s="14">
        <v>0.7157420267802229</v>
      </c>
      <c r="M31" s="13"/>
      <c r="N31" s="14">
        <v>1.0</v>
      </c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14" t="s">
        <v>16</v>
      </c>
      <c r="B32" s="14" t="s">
        <v>37</v>
      </c>
      <c r="C32" s="14">
        <v>255.645408</v>
      </c>
      <c r="D32" s="14">
        <v>41059.972144</v>
      </c>
      <c r="E32" s="14">
        <v>3739.388252</v>
      </c>
      <c r="F32" s="14">
        <v>8.10189</v>
      </c>
      <c r="G32" s="14">
        <v>121.699069</v>
      </c>
      <c r="H32" s="14">
        <v>57.400966</v>
      </c>
      <c r="I32" s="14">
        <v>1.0</v>
      </c>
      <c r="J32" s="14">
        <v>0.675105075920265</v>
      </c>
      <c r="K32" s="14">
        <v>41181.761103</v>
      </c>
      <c r="L32" s="14">
        <v>0.675105075920265</v>
      </c>
      <c r="M32" s="13"/>
      <c r="N32" s="14">
        <v>1.0</v>
      </c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14" t="s">
        <v>33</v>
      </c>
      <c r="B33" s="14" t="s">
        <v>37</v>
      </c>
      <c r="C33" s="14">
        <v>255.645408</v>
      </c>
      <c r="D33" s="14">
        <v>372.161392</v>
      </c>
      <c r="E33" s="14">
        <v>2625.847837</v>
      </c>
      <c r="F33" s="14">
        <v>0.7307</v>
      </c>
      <c r="G33" s="14">
        <v>70.662324</v>
      </c>
      <c r="H33" s="14">
        <v>61.269618</v>
      </c>
      <c r="I33" s="14">
        <v>1.0</v>
      </c>
      <c r="J33" s="14">
        <v>0.5949964884626158</v>
      </c>
      <c r="K33" s="14">
        <v>442.925102</v>
      </c>
      <c r="L33" s="14">
        <v>0.5949964884626158</v>
      </c>
      <c r="M33" s="13"/>
      <c r="N33" s="14">
        <v>0.0</v>
      </c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14" t="s">
        <v>17</v>
      </c>
      <c r="B34" s="14" t="s">
        <v>37</v>
      </c>
      <c r="C34" s="14">
        <v>255.645408</v>
      </c>
      <c r="D34" s="13"/>
      <c r="E34" s="13"/>
      <c r="F34" s="13"/>
      <c r="G34" s="13"/>
      <c r="H34" s="13"/>
      <c r="I34" s="13"/>
      <c r="J34" s="13"/>
      <c r="K34" s="14">
        <v>0.1421359999999999</v>
      </c>
      <c r="L34" s="14">
        <v>0.4330632957352068</v>
      </c>
      <c r="M34" s="14" t="s">
        <v>71</v>
      </c>
      <c r="N34" s="14">
        <v>0.0</v>
      </c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14" t="s">
        <v>18</v>
      </c>
      <c r="B35" s="14" t="s">
        <v>37</v>
      </c>
      <c r="C35" s="14">
        <v>255.645408</v>
      </c>
      <c r="D35" s="14">
        <v>22446.166</v>
      </c>
      <c r="E35" s="14">
        <v>3483.212556</v>
      </c>
      <c r="F35" s="14">
        <v>10.320937</v>
      </c>
      <c r="G35" s="14">
        <v>30.781292</v>
      </c>
      <c r="H35" s="14">
        <v>69.622267</v>
      </c>
      <c r="I35" s="14">
        <v>1.0</v>
      </c>
      <c r="J35" s="14">
        <v>0.9463774150292442</v>
      </c>
      <c r="K35" s="14">
        <v>22477.048678</v>
      </c>
      <c r="L35" s="14">
        <v>0.9463774150292442</v>
      </c>
      <c r="M35" s="13"/>
      <c r="N35" s="14">
        <v>1.0</v>
      </c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14" t="s">
        <v>19</v>
      </c>
      <c r="B36" s="14" t="s">
        <v>37</v>
      </c>
      <c r="C36" s="14">
        <v>255.645408</v>
      </c>
      <c r="D36" s="14">
        <v>0.922413</v>
      </c>
      <c r="E36" s="14">
        <v>1287.773037</v>
      </c>
      <c r="F36" s="14">
        <v>255.648398</v>
      </c>
      <c r="G36" s="14">
        <v>0.536926</v>
      </c>
      <c r="H36" s="14">
        <v>83.272155</v>
      </c>
      <c r="I36" s="14">
        <v>1.0</v>
      </c>
      <c r="J36" s="14">
        <v>0.752293932217431</v>
      </c>
      <c r="K36" s="14">
        <v>1.560725</v>
      </c>
      <c r="L36" s="14">
        <v>0.752293932217431</v>
      </c>
      <c r="M36" s="13"/>
      <c r="N36" s="14">
        <v>1.0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14" t="s">
        <v>13</v>
      </c>
      <c r="B37" s="14" t="s">
        <v>38</v>
      </c>
      <c r="C37" s="14">
        <v>0.200128</v>
      </c>
      <c r="D37" s="14">
        <v>72.246483</v>
      </c>
      <c r="E37" s="14">
        <v>16.139534</v>
      </c>
      <c r="F37" s="14">
        <v>5.424989</v>
      </c>
      <c r="G37" s="14">
        <v>0.523094</v>
      </c>
      <c r="H37" s="14">
        <v>1.231131</v>
      </c>
      <c r="I37" s="14">
        <v>1.0</v>
      </c>
      <c r="J37" s="14">
        <v>0.6596073843265406</v>
      </c>
      <c r="K37" s="14">
        <v>72.860882</v>
      </c>
      <c r="L37" s="14">
        <v>0.6596073843265406</v>
      </c>
      <c r="M37" s="13"/>
      <c r="N37" s="14">
        <v>0.0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14" t="s">
        <v>14</v>
      </c>
      <c r="B38" s="14" t="s">
        <v>38</v>
      </c>
      <c r="C38" s="14">
        <v>0.200128</v>
      </c>
      <c r="D38" s="14">
        <v>0.535848</v>
      </c>
      <c r="E38" s="14">
        <v>1.171843</v>
      </c>
      <c r="F38" s="14">
        <v>0.247863</v>
      </c>
      <c r="G38" s="14">
        <v>0.042843</v>
      </c>
      <c r="H38" s="14">
        <v>1.841254</v>
      </c>
      <c r="I38" s="14">
        <v>0.2807955555555556</v>
      </c>
      <c r="J38" s="14">
        <v>0.2594931373262834</v>
      </c>
      <c r="K38" s="14">
        <v>0.6800769999999999</v>
      </c>
      <c r="L38" s="14">
        <v>0.2594931373262834</v>
      </c>
      <c r="M38" s="13"/>
      <c r="N38" s="14">
        <v>0.0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14" t="s">
        <v>16</v>
      </c>
      <c r="B39" s="14" t="s">
        <v>38</v>
      </c>
      <c r="C39" s="14">
        <v>0.200128</v>
      </c>
      <c r="D39" s="14">
        <v>76.864524</v>
      </c>
      <c r="E39" s="14">
        <v>16.497839</v>
      </c>
      <c r="F39" s="14">
        <v>5.497348</v>
      </c>
      <c r="G39" s="14">
        <v>0.610407</v>
      </c>
      <c r="H39" s="14">
        <v>1.275714</v>
      </c>
      <c r="I39" s="14">
        <v>1.0</v>
      </c>
      <c r="J39" s="14">
        <v>0.6725003602659181</v>
      </c>
      <c r="K39" s="14">
        <v>77.564821</v>
      </c>
      <c r="L39" s="14">
        <v>0.6725003602659181</v>
      </c>
      <c r="M39" s="13"/>
      <c r="N39" s="14">
        <v>0.0</v>
      </c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14" t="s">
        <v>33</v>
      </c>
      <c r="B40" s="14" t="s">
        <v>38</v>
      </c>
      <c r="C40" s="14">
        <v>0.200128</v>
      </c>
      <c r="D40" s="14">
        <v>4.513487</v>
      </c>
      <c r="E40" s="14">
        <v>2.923974</v>
      </c>
      <c r="F40" s="14">
        <v>0.434396</v>
      </c>
      <c r="G40" s="14">
        <v>0.471682</v>
      </c>
      <c r="H40" s="14">
        <v>1.263433</v>
      </c>
      <c r="I40" s="14">
        <v>1.0</v>
      </c>
      <c r="J40" s="14">
        <v>0.7692935499906738</v>
      </c>
      <c r="K40" s="14">
        <v>5.086555</v>
      </c>
      <c r="L40" s="14">
        <v>0.7692935499906738</v>
      </c>
      <c r="M40" s="13"/>
      <c r="N40" s="14">
        <v>0.0</v>
      </c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14" t="s">
        <v>17</v>
      </c>
      <c r="B41" s="14" t="s">
        <v>38</v>
      </c>
      <c r="C41" s="14">
        <v>0.200128</v>
      </c>
      <c r="D41" s="14">
        <v>50542.02628</v>
      </c>
      <c r="E41" s="14">
        <v>473.218496</v>
      </c>
      <c r="F41" s="14">
        <v>188.199979</v>
      </c>
      <c r="G41" s="14">
        <v>27.239939</v>
      </c>
      <c r="H41" s="14">
        <v>1.203254</v>
      </c>
      <c r="I41" s="14">
        <v>0.981</v>
      </c>
      <c r="J41" s="14">
        <v>0.7186263237563666</v>
      </c>
      <c r="K41" s="14">
        <v>50569.367614</v>
      </c>
      <c r="L41" s="14">
        <v>0.7186263237563666</v>
      </c>
      <c r="M41" s="13"/>
      <c r="N41" s="14">
        <v>0.0</v>
      </c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14" t="s">
        <v>18</v>
      </c>
      <c r="B42" s="14" t="s">
        <v>38</v>
      </c>
      <c r="C42" s="14">
        <v>0.200128</v>
      </c>
      <c r="D42" s="14">
        <v>17.121247</v>
      </c>
      <c r="E42" s="14">
        <v>15.797622</v>
      </c>
      <c r="F42" s="14">
        <v>1.099304</v>
      </c>
      <c r="G42" s="14">
        <v>0.499258</v>
      </c>
      <c r="H42" s="14">
        <v>1.255373</v>
      </c>
      <c r="I42" s="14">
        <v>1.0</v>
      </c>
      <c r="J42" s="14">
        <v>0.67115600481454</v>
      </c>
      <c r="K42" s="14">
        <v>17.721891</v>
      </c>
      <c r="L42" s="14">
        <v>0.67115600481454</v>
      </c>
      <c r="M42" s="13"/>
      <c r="N42" s="14">
        <v>0.0</v>
      </c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14" t="s">
        <v>19</v>
      </c>
      <c r="B43" s="14" t="s">
        <v>38</v>
      </c>
      <c r="C43" s="14">
        <v>0.200128</v>
      </c>
      <c r="D43" s="14">
        <v>0.216575</v>
      </c>
      <c r="E43" s="14">
        <v>1.086053</v>
      </c>
      <c r="F43" s="14">
        <v>0.233522</v>
      </c>
      <c r="G43" s="14">
        <v>0.025908</v>
      </c>
      <c r="H43" s="14">
        <v>1.42363</v>
      </c>
      <c r="I43" s="14">
        <v>0.83476</v>
      </c>
      <c r="J43" s="14">
        <v>0.3094537387568209</v>
      </c>
      <c r="K43" s="14">
        <v>0.343869</v>
      </c>
      <c r="L43" s="14">
        <v>0.3094537387568209</v>
      </c>
      <c r="M43" s="13"/>
      <c r="N43" s="14">
        <v>0.0</v>
      </c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14" t="s">
        <v>13</v>
      </c>
      <c r="B44" s="14" t="s">
        <v>39</v>
      </c>
      <c r="C44" s="14">
        <v>3.340128</v>
      </c>
      <c r="D44" s="14">
        <v>684.203161</v>
      </c>
      <c r="E44" s="14">
        <v>46.776919</v>
      </c>
      <c r="F44" s="14">
        <v>5.835819</v>
      </c>
      <c r="G44" s="14">
        <v>0.928949</v>
      </c>
      <c r="H44" s="14">
        <v>3.788695</v>
      </c>
      <c r="I44" s="14">
        <v>1.0</v>
      </c>
      <c r="J44" s="14">
        <v>0.9142271645564776</v>
      </c>
      <c r="K44" s="14">
        <v>685.223415</v>
      </c>
      <c r="L44" s="14">
        <v>0.9142271645564776</v>
      </c>
      <c r="M44" s="13"/>
      <c r="N44" s="14">
        <v>0.0</v>
      </c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14" t="s">
        <v>14</v>
      </c>
      <c r="B45" s="14" t="s">
        <v>39</v>
      </c>
      <c r="C45" s="14">
        <v>3.340128</v>
      </c>
      <c r="D45" s="14">
        <v>6.339493</v>
      </c>
      <c r="E45" s="14">
        <v>21.915772</v>
      </c>
      <c r="F45" s="14">
        <v>3.32538</v>
      </c>
      <c r="G45" s="14">
        <v>0.185302</v>
      </c>
      <c r="H45" s="14">
        <v>3.914157</v>
      </c>
      <c r="I45" s="14">
        <v>1.0</v>
      </c>
      <c r="J45" s="14">
        <v>0.9626573936028276</v>
      </c>
      <c r="K45" s="14">
        <v>6.626181</v>
      </c>
      <c r="L45" s="14">
        <v>0.9626573936028276</v>
      </c>
      <c r="M45" s="13"/>
      <c r="N45" s="14">
        <v>0.0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14" t="s">
        <v>16</v>
      </c>
      <c r="B46" s="14" t="s">
        <v>39</v>
      </c>
      <c r="C46" s="14">
        <v>3.340128</v>
      </c>
      <c r="D46" s="14">
        <v>728.564664</v>
      </c>
      <c r="E46" s="14">
        <v>50.138742</v>
      </c>
      <c r="F46" s="14">
        <v>5.836973</v>
      </c>
      <c r="G46" s="14">
        <v>1.071096</v>
      </c>
      <c r="H46" s="14">
        <v>4.192345</v>
      </c>
      <c r="I46" s="14">
        <v>1.0</v>
      </c>
      <c r="J46" s="14">
        <v>0.901201647054966</v>
      </c>
      <c r="K46" s="14">
        <v>729.72565</v>
      </c>
      <c r="L46" s="14">
        <v>0.901201647054966</v>
      </c>
      <c r="M46" s="13"/>
      <c r="N46" s="14">
        <v>0.0</v>
      </c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14" t="s">
        <v>33</v>
      </c>
      <c r="B47" s="14" t="s">
        <v>39</v>
      </c>
      <c r="C47" s="14">
        <v>3.340128</v>
      </c>
      <c r="D47" s="14">
        <v>22.945981</v>
      </c>
      <c r="E47" s="14">
        <v>44.918674</v>
      </c>
      <c r="F47" s="14">
        <v>0.390253</v>
      </c>
      <c r="G47" s="14">
        <v>1.134777</v>
      </c>
      <c r="H47" s="14">
        <v>3.918235</v>
      </c>
      <c r="I47" s="14">
        <v>1.0</v>
      </c>
      <c r="J47" s="14">
        <v>0.9706317984770574</v>
      </c>
      <c r="K47" s="14">
        <v>24.182144</v>
      </c>
      <c r="L47" s="14">
        <v>0.9706317984770574</v>
      </c>
      <c r="M47" s="13"/>
      <c r="N47" s="14">
        <v>0.0</v>
      </c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14" t="s">
        <v>17</v>
      </c>
      <c r="B48" s="14" t="s">
        <v>39</v>
      </c>
      <c r="C48" s="14">
        <v>3.340128</v>
      </c>
      <c r="D48" s="14">
        <v>9097.149719</v>
      </c>
      <c r="E48" s="14">
        <v>731.742481</v>
      </c>
      <c r="F48" s="14">
        <v>179.917222</v>
      </c>
      <c r="G48" s="14">
        <v>190.025127</v>
      </c>
      <c r="H48" s="14">
        <v>4.346129</v>
      </c>
      <c r="I48" s="14">
        <v>1.0</v>
      </c>
      <c r="J48" s="14">
        <v>0.7537553781837372</v>
      </c>
      <c r="K48" s="14">
        <v>9287.276241</v>
      </c>
      <c r="L48" s="14">
        <v>0.7537553781837372</v>
      </c>
      <c r="M48" s="13"/>
      <c r="N48" s="14">
        <v>0.0</v>
      </c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14" t="s">
        <v>18</v>
      </c>
      <c r="B49" s="14" t="s">
        <v>39</v>
      </c>
      <c r="C49" s="14">
        <v>3.340128</v>
      </c>
      <c r="D49" s="14">
        <v>232.996106</v>
      </c>
      <c r="E49" s="14">
        <v>46.782724</v>
      </c>
      <c r="F49" s="14">
        <v>0.988378</v>
      </c>
      <c r="G49" s="14">
        <v>0.761302</v>
      </c>
      <c r="H49" s="14">
        <v>3.974217</v>
      </c>
      <c r="I49" s="14">
        <v>1.0</v>
      </c>
      <c r="J49" s="14">
        <v>0.939118525884336</v>
      </c>
      <c r="K49" s="14">
        <v>233.858794</v>
      </c>
      <c r="L49" s="14">
        <v>0.939118525884336</v>
      </c>
      <c r="M49" s="13"/>
      <c r="N49" s="14">
        <v>0.0</v>
      </c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14" t="s">
        <v>19</v>
      </c>
      <c r="B50" s="14" t="s">
        <v>39</v>
      </c>
      <c r="C50" s="14">
        <v>3.340128</v>
      </c>
      <c r="D50" s="14">
        <v>0.143452</v>
      </c>
      <c r="E50" s="14">
        <v>17.178166</v>
      </c>
      <c r="F50" s="14">
        <v>1.147901</v>
      </c>
      <c r="G50" s="14">
        <v>0.046717</v>
      </c>
      <c r="H50" s="14">
        <v>3.909612</v>
      </c>
      <c r="I50" s="14">
        <v>1.0</v>
      </c>
      <c r="J50" s="14">
        <v>0.6064017343654298</v>
      </c>
      <c r="K50" s="14">
        <v>0.291555</v>
      </c>
      <c r="L50" s="14">
        <v>0.6064017343654298</v>
      </c>
      <c r="M50" s="13"/>
      <c r="N50" s="14">
        <v>0.0</v>
      </c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14" t="s">
        <v>13</v>
      </c>
      <c r="B51" s="14" t="s">
        <v>40</v>
      </c>
      <c r="C51" s="14">
        <v>162.039016</v>
      </c>
      <c r="D51" s="14">
        <v>31156.796796</v>
      </c>
      <c r="E51" s="14">
        <v>2657.244981</v>
      </c>
      <c r="F51" s="14">
        <v>18.39511</v>
      </c>
      <c r="G51" s="14">
        <v>45.990638</v>
      </c>
      <c r="H51" s="14">
        <v>36.743651</v>
      </c>
      <c r="I51" s="14">
        <v>1.0</v>
      </c>
      <c r="J51" s="14">
        <v>0.7789695340809533</v>
      </c>
      <c r="K51" s="14">
        <v>31202.878739</v>
      </c>
      <c r="L51" s="14">
        <v>0.7789695340809533</v>
      </c>
      <c r="M51" s="13"/>
      <c r="N51" s="14">
        <v>1.0</v>
      </c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14" t="s">
        <v>14</v>
      </c>
      <c r="B52" s="14" t="s">
        <v>40</v>
      </c>
      <c r="C52" s="14">
        <v>162.039016</v>
      </c>
      <c r="D52" s="14">
        <v>51.806474</v>
      </c>
      <c r="E52" s="14">
        <v>790.715263</v>
      </c>
      <c r="F52" s="14">
        <v>154.632068</v>
      </c>
      <c r="G52" s="14">
        <v>1.182177</v>
      </c>
      <c r="H52" s="14">
        <v>52.531009</v>
      </c>
      <c r="I52" s="14">
        <v>0.5256410256410257</v>
      </c>
      <c r="J52" s="14">
        <v>0.7550492366040964</v>
      </c>
      <c r="K52" s="14">
        <v>53.090037</v>
      </c>
      <c r="L52" s="14">
        <v>0.7550492366040964</v>
      </c>
      <c r="M52" s="13"/>
      <c r="N52" s="14">
        <v>1.0</v>
      </c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14" t="s">
        <v>16</v>
      </c>
      <c r="B53" s="14" t="s">
        <v>40</v>
      </c>
      <c r="C53" s="14">
        <v>162.039016</v>
      </c>
      <c r="D53" s="14">
        <v>32342.649382</v>
      </c>
      <c r="E53" s="14">
        <v>2961.934722</v>
      </c>
      <c r="F53" s="14">
        <v>18.840116</v>
      </c>
      <c r="G53" s="14">
        <v>72.339942</v>
      </c>
      <c r="H53" s="14">
        <v>30.329229</v>
      </c>
      <c r="I53" s="14">
        <v>1.0</v>
      </c>
      <c r="J53" s="14">
        <v>0.6105863699306161</v>
      </c>
      <c r="K53" s="14">
        <v>32415.079214</v>
      </c>
      <c r="L53" s="14">
        <v>0.6105863699306161</v>
      </c>
      <c r="M53" s="13"/>
      <c r="N53" s="14">
        <v>0.0</v>
      </c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14" t="s">
        <v>33</v>
      </c>
      <c r="B54" s="14" t="s">
        <v>40</v>
      </c>
      <c r="C54" s="14">
        <v>162.039016</v>
      </c>
      <c r="D54" s="14">
        <v>255.430883</v>
      </c>
      <c r="E54" s="14">
        <v>1665.524515</v>
      </c>
      <c r="F54" s="14">
        <v>0.567899</v>
      </c>
      <c r="G54" s="14">
        <v>35.574642</v>
      </c>
      <c r="H54" s="14">
        <v>33.210562</v>
      </c>
      <c r="I54" s="14">
        <v>1.0</v>
      </c>
      <c r="J54" s="14">
        <v>0.6896128152887514</v>
      </c>
      <c r="K54" s="14">
        <v>291.106911</v>
      </c>
      <c r="L54" s="14">
        <v>0.6896128152887514</v>
      </c>
      <c r="M54" s="13"/>
      <c r="N54" s="14">
        <v>0.0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4" t="s">
        <v>17</v>
      </c>
      <c r="B55" s="14" t="s">
        <v>40</v>
      </c>
      <c r="C55" s="13"/>
      <c r="D55" s="13"/>
      <c r="E55" s="13"/>
      <c r="F55" s="13"/>
      <c r="G55" s="13"/>
      <c r="H55" s="13"/>
      <c r="I55" s="13"/>
      <c r="J55" s="13"/>
      <c r="K55" s="14">
        <v>0.1421359999999999</v>
      </c>
      <c r="L55" s="14">
        <v>0.4330632957352068</v>
      </c>
      <c r="M55" s="14" t="s">
        <v>72</v>
      </c>
      <c r="N55" s="14">
        <v>0.0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14" t="s">
        <v>18</v>
      </c>
      <c r="B56" s="14" t="s">
        <v>40</v>
      </c>
      <c r="C56" s="14">
        <v>162.039016</v>
      </c>
      <c r="D56" s="14">
        <v>14036.448661</v>
      </c>
      <c r="E56" s="14">
        <v>2657.25184</v>
      </c>
      <c r="F56" s="14">
        <v>8.611911</v>
      </c>
      <c r="G56" s="14">
        <v>33.887705</v>
      </c>
      <c r="H56" s="14">
        <v>36.224027</v>
      </c>
      <c r="I56" s="14">
        <v>1.0</v>
      </c>
      <c r="J56" s="14">
        <v>0.86654600780659</v>
      </c>
      <c r="K56" s="14">
        <v>14070.437752</v>
      </c>
      <c r="L56" s="14">
        <v>0.86654600780659</v>
      </c>
      <c r="M56" s="13"/>
      <c r="N56" s="14">
        <v>1.0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14" t="s">
        <v>19</v>
      </c>
      <c r="B57" s="14" t="s">
        <v>40</v>
      </c>
      <c r="C57" s="14">
        <v>162.039016</v>
      </c>
      <c r="D57" s="14">
        <v>0.740827</v>
      </c>
      <c r="E57" s="14">
        <v>790.620531</v>
      </c>
      <c r="F57" s="14">
        <v>154.609079</v>
      </c>
      <c r="G57" s="14">
        <v>0.455856</v>
      </c>
      <c r="H57" s="14">
        <v>40.897061</v>
      </c>
      <c r="I57" s="14">
        <v>1.0</v>
      </c>
      <c r="J57" s="14">
        <v>0.6034200163494817</v>
      </c>
      <c r="K57" s="14">
        <v>1.298069</v>
      </c>
      <c r="L57" s="14">
        <v>0.6034200163494817</v>
      </c>
      <c r="M57" s="13"/>
      <c r="N57" s="14">
        <v>0.0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14" t="s">
        <v>13</v>
      </c>
      <c r="B58" s="14" t="s">
        <v>41</v>
      </c>
      <c r="C58" s="14">
        <v>18.712096</v>
      </c>
      <c r="D58" s="14">
        <v>2135.898781</v>
      </c>
      <c r="E58" s="14">
        <v>272.326329</v>
      </c>
      <c r="F58" s="14">
        <v>3.065356</v>
      </c>
      <c r="G58" s="14">
        <v>3.903057</v>
      </c>
      <c r="H58" s="14">
        <v>12.525662</v>
      </c>
      <c r="I58" s="14">
        <v>1.0</v>
      </c>
      <c r="J58" s="14">
        <v>0.9573951073950068</v>
      </c>
      <c r="K58" s="14">
        <v>2139.893143</v>
      </c>
      <c r="L58" s="14">
        <v>0.9573951073950068</v>
      </c>
      <c r="M58" s="13"/>
      <c r="N58" s="14">
        <v>1.0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14" t="s">
        <v>14</v>
      </c>
      <c r="B59" s="14" t="s">
        <v>41</v>
      </c>
      <c r="C59" s="14">
        <v>18.712096</v>
      </c>
      <c r="D59" s="14">
        <v>16.227399</v>
      </c>
      <c r="E59" s="14">
        <v>94.613962</v>
      </c>
      <c r="F59" s="14">
        <v>18.752394</v>
      </c>
      <c r="G59" s="14">
        <v>0.225631</v>
      </c>
      <c r="H59" s="14">
        <v>13.712793</v>
      </c>
      <c r="I59" s="14">
        <v>0.5</v>
      </c>
      <c r="J59" s="14">
        <v>0.814203308471695</v>
      </c>
      <c r="K59" s="14">
        <v>16.554416</v>
      </c>
      <c r="L59" s="14">
        <v>0.814203308471695</v>
      </c>
      <c r="M59" s="13"/>
      <c r="N59" s="14">
        <v>0.0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14" t="s">
        <v>16</v>
      </c>
      <c r="B60" s="14" t="s">
        <v>41</v>
      </c>
      <c r="C60" s="14">
        <v>18.712096</v>
      </c>
      <c r="D60" s="14">
        <v>2020.654378</v>
      </c>
      <c r="E60" s="14">
        <v>321.05916</v>
      </c>
      <c r="F60" s="14">
        <v>3.796651</v>
      </c>
      <c r="G60" s="14">
        <v>7.145802</v>
      </c>
      <c r="H60" s="14">
        <v>10.264228</v>
      </c>
      <c r="I60" s="14">
        <v>1.0</v>
      </c>
      <c r="J60" s="14">
        <v>0.9230287242384176</v>
      </c>
      <c r="K60" s="14">
        <v>2027.89007</v>
      </c>
      <c r="L60" s="14">
        <v>0.9230287242384176</v>
      </c>
      <c r="M60" s="13"/>
      <c r="N60" s="14">
        <v>1.0</v>
      </c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14" t="s">
        <v>33</v>
      </c>
      <c r="B61" s="14" t="s">
        <v>41</v>
      </c>
      <c r="C61" s="14">
        <v>18.712096</v>
      </c>
      <c r="D61" s="14">
        <v>42.256453</v>
      </c>
      <c r="E61" s="14">
        <v>192.999214</v>
      </c>
      <c r="F61" s="14">
        <v>0.780421</v>
      </c>
      <c r="G61" s="14">
        <v>4.659066</v>
      </c>
      <c r="H61" s="14">
        <v>10.347839</v>
      </c>
      <c r="I61" s="14">
        <v>1.0</v>
      </c>
      <c r="J61" s="14">
        <v>0.8689819291242673</v>
      </c>
      <c r="K61" s="14">
        <v>47.016905</v>
      </c>
      <c r="L61" s="14">
        <v>0.8689819291242673</v>
      </c>
      <c r="M61" s="13"/>
      <c r="N61" s="14">
        <v>0.0</v>
      </c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14" t="s">
        <v>17</v>
      </c>
      <c r="B62" s="14" t="s">
        <v>41</v>
      </c>
      <c r="C62" s="14">
        <v>18.712096</v>
      </c>
      <c r="D62" s="13"/>
      <c r="E62" s="13"/>
      <c r="F62" s="13"/>
      <c r="G62" s="13"/>
      <c r="H62" s="13"/>
      <c r="I62" s="13"/>
      <c r="J62" s="13"/>
      <c r="K62" s="14">
        <v>0.1421359999999999</v>
      </c>
      <c r="L62" s="14">
        <v>0.4330632957352068</v>
      </c>
      <c r="M62" s="14" t="s">
        <v>73</v>
      </c>
      <c r="N62" s="14">
        <v>0.0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14" t="s">
        <v>18</v>
      </c>
      <c r="B63" s="14" t="s">
        <v>41</v>
      </c>
      <c r="C63" s="14">
        <v>18.712096</v>
      </c>
      <c r="D63" s="14">
        <v>1456.373499</v>
      </c>
      <c r="E63" s="14">
        <v>272.188805</v>
      </c>
      <c r="F63" s="14">
        <v>2.687261</v>
      </c>
      <c r="G63" s="14">
        <v>2.909781</v>
      </c>
      <c r="H63" s="14">
        <v>9.719238</v>
      </c>
      <c r="I63" s="14">
        <v>1.0</v>
      </c>
      <c r="J63" s="14">
        <v>0.9327605428998322</v>
      </c>
      <c r="K63" s="14">
        <v>1459.384666</v>
      </c>
      <c r="L63" s="14">
        <v>0.9327605428998322</v>
      </c>
      <c r="M63" s="13"/>
      <c r="N63" s="14">
        <v>1.0</v>
      </c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14" t="s">
        <v>19</v>
      </c>
      <c r="B64" s="14" t="s">
        <v>41</v>
      </c>
      <c r="C64" s="14">
        <v>18.712096</v>
      </c>
      <c r="D64" s="14">
        <v>0.25928</v>
      </c>
      <c r="E64" s="14">
        <v>94.464008</v>
      </c>
      <c r="F64" s="14">
        <v>18.715492</v>
      </c>
      <c r="G64" s="14">
        <v>0.07704</v>
      </c>
      <c r="H64" s="14">
        <v>11.748192</v>
      </c>
      <c r="I64" s="14">
        <v>1.0</v>
      </c>
      <c r="J64" s="14">
        <v>0.740785256508373</v>
      </c>
      <c r="K64" s="14">
        <v>0.437706</v>
      </c>
      <c r="L64" s="14">
        <v>0.740785256508373</v>
      </c>
      <c r="M64" s="13"/>
      <c r="N64" s="14">
        <v>0.0</v>
      </c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7" width="8.63"/>
  </cols>
  <sheetData>
    <row r="1">
      <c r="A1" s="12" t="s">
        <v>0</v>
      </c>
      <c r="B1" s="12" t="s">
        <v>42</v>
      </c>
      <c r="C1" s="12" t="s">
        <v>28</v>
      </c>
      <c r="D1" s="12" t="s">
        <v>43</v>
      </c>
      <c r="E1" s="12" t="s">
        <v>44</v>
      </c>
      <c r="F1" s="12" t="s">
        <v>45</v>
      </c>
      <c r="G1" s="12" t="s">
        <v>46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4" t="s">
        <v>47</v>
      </c>
      <c r="B2" s="14">
        <v>5.997198</v>
      </c>
      <c r="C2" s="14">
        <v>0.5521667385580665</v>
      </c>
      <c r="D2" s="14">
        <v>0.7779483874884211</v>
      </c>
      <c r="E2" s="14" t="b">
        <v>1</v>
      </c>
      <c r="F2" s="14" t="s">
        <v>48</v>
      </c>
      <c r="G2" s="14" t="s">
        <v>49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50</v>
      </c>
      <c r="B3" s="14">
        <v>170.848331</v>
      </c>
      <c r="C3" s="14">
        <v>0.8040249789481677</v>
      </c>
      <c r="D3" s="14">
        <v>2.232610740576803</v>
      </c>
      <c r="E3" s="14" t="b">
        <v>1</v>
      </c>
      <c r="F3" s="14" t="s">
        <v>48</v>
      </c>
      <c r="G3" s="14" t="s">
        <v>51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52</v>
      </c>
      <c r="B4" s="14">
        <v>1211.454226</v>
      </c>
      <c r="C4" s="14">
        <v>0.8411926266504494</v>
      </c>
      <c r="D4" s="14">
        <v>3.08330700925258</v>
      </c>
      <c r="E4" s="14" t="b">
        <v>1</v>
      </c>
      <c r="F4" s="14" t="s">
        <v>48</v>
      </c>
      <c r="G4" s="14" t="s">
        <v>53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54</v>
      </c>
      <c r="B5" s="14">
        <v>48421.101108</v>
      </c>
      <c r="C5" s="14">
        <v>0.8974765383316444</v>
      </c>
      <c r="D5" s="14">
        <v>4.685034661183597</v>
      </c>
      <c r="E5" s="14" t="b">
        <v>1</v>
      </c>
      <c r="F5" s="14" t="s">
        <v>48</v>
      </c>
      <c r="G5" s="14" t="s">
        <v>55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56</v>
      </c>
      <c r="B6" s="14">
        <v>112775.627454</v>
      </c>
      <c r="C6" s="14">
        <v>0.8720599492171907</v>
      </c>
      <c r="D6" s="14">
        <v>5.052215252077013</v>
      </c>
      <c r="E6" s="14" t="b">
        <v>0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59</v>
      </c>
      <c r="B7" s="14">
        <v>116311.522151</v>
      </c>
      <c r="C7" s="14">
        <v>0.8196201865633425</v>
      </c>
      <c r="D7" s="14">
        <v>5.065622739309147</v>
      </c>
      <c r="E7" s="14" t="b">
        <v>0</v>
      </c>
      <c r="F7" s="14" t="s">
        <v>57</v>
      </c>
      <c r="G7" s="14" t="s">
        <v>60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61</v>
      </c>
      <c r="B8" s="14">
        <v>348294.118766</v>
      </c>
      <c r="C8" s="14">
        <v>0.8309596863618633</v>
      </c>
      <c r="D8" s="14">
        <v>5.541946141098955</v>
      </c>
      <c r="E8" s="14" t="b">
        <v>0</v>
      </c>
      <c r="F8" s="14" t="s">
        <v>57</v>
      </c>
      <c r="G8" s="14" t="s">
        <v>62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2" width="8.63"/>
  </cols>
  <sheetData>
    <row r="1">
      <c r="A1" s="12" t="s">
        <v>0</v>
      </c>
      <c r="B1" s="12" t="s">
        <v>20</v>
      </c>
      <c r="C1" s="12" t="s">
        <v>21</v>
      </c>
      <c r="D1" s="12" t="s">
        <v>22</v>
      </c>
      <c r="E1" s="12" t="s">
        <v>23</v>
      </c>
      <c r="F1" s="12" t="s">
        <v>24</v>
      </c>
      <c r="G1" s="12" t="s">
        <v>25</v>
      </c>
      <c r="H1" s="12" t="s">
        <v>26</v>
      </c>
      <c r="I1" s="12" t="s">
        <v>27</v>
      </c>
      <c r="J1" s="12" t="s">
        <v>28</v>
      </c>
      <c r="K1" s="12" t="s">
        <v>63</v>
      </c>
      <c r="L1" s="12" t="s">
        <v>31</v>
      </c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4" t="s">
        <v>13</v>
      </c>
      <c r="B2" s="14" t="s">
        <v>32</v>
      </c>
      <c r="C2" s="14">
        <v>3.907448</v>
      </c>
      <c r="D2" s="14">
        <v>1214.002412</v>
      </c>
      <c r="E2" s="14">
        <v>128.420125</v>
      </c>
      <c r="F2" s="14">
        <v>4.000079</v>
      </c>
      <c r="G2" s="14">
        <v>1.099031</v>
      </c>
      <c r="H2" s="14">
        <v>1.709151</v>
      </c>
      <c r="I2" s="14">
        <v>1.0</v>
      </c>
      <c r="J2" s="14">
        <v>0.8267421410842056</v>
      </c>
      <c r="K2" s="13"/>
      <c r="L2" s="14">
        <v>0.0</v>
      </c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14</v>
      </c>
      <c r="B3" s="14" t="s">
        <v>32</v>
      </c>
      <c r="C3" s="14">
        <v>3.907448</v>
      </c>
      <c r="D3" s="14">
        <v>1.752266</v>
      </c>
      <c r="E3" s="14">
        <v>19.140835</v>
      </c>
      <c r="F3" s="14">
        <v>2.157549</v>
      </c>
      <c r="G3" s="14">
        <v>0.051089</v>
      </c>
      <c r="H3" s="14">
        <v>1.683453</v>
      </c>
      <c r="I3" s="14">
        <v>0.7142857142857143</v>
      </c>
      <c r="J3" s="14">
        <v>0.8927436853157305</v>
      </c>
      <c r="K3" s="13"/>
      <c r="L3" s="14">
        <v>1.0</v>
      </c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16</v>
      </c>
      <c r="B4" s="14" t="s">
        <v>32</v>
      </c>
      <c r="C4" s="14">
        <v>3.907448</v>
      </c>
      <c r="D4" s="14">
        <v>1199.039754</v>
      </c>
      <c r="E4" s="14">
        <v>129.309499</v>
      </c>
      <c r="F4" s="14">
        <v>4.053664</v>
      </c>
      <c r="G4" s="14">
        <v>1.427714</v>
      </c>
      <c r="H4" s="14">
        <v>1.723887</v>
      </c>
      <c r="I4" s="14">
        <v>1.0</v>
      </c>
      <c r="J4" s="14">
        <v>0.8872142728809445</v>
      </c>
      <c r="K4" s="13"/>
      <c r="L4" s="14">
        <v>1.0</v>
      </c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33</v>
      </c>
      <c r="B5" s="14" t="s">
        <v>32</v>
      </c>
      <c r="C5" s="14">
        <v>3.907448</v>
      </c>
      <c r="D5" s="14">
        <v>14.35206</v>
      </c>
      <c r="E5" s="14">
        <v>40.831069</v>
      </c>
      <c r="F5" s="14">
        <v>0.259662</v>
      </c>
      <c r="G5" s="14">
        <v>0.962453</v>
      </c>
      <c r="H5" s="14">
        <v>1.682822</v>
      </c>
      <c r="I5" s="14">
        <v>1.0</v>
      </c>
      <c r="J5" s="14">
        <v>0.8437299459168182</v>
      </c>
      <c r="K5" s="13"/>
      <c r="L5" s="14">
        <v>0.0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17</v>
      </c>
      <c r="B6" s="14" t="s">
        <v>32</v>
      </c>
      <c r="C6" s="14">
        <v>3.907448</v>
      </c>
      <c r="D6" s="14">
        <v>16899.92183</v>
      </c>
      <c r="E6" s="14">
        <v>2001.366942</v>
      </c>
      <c r="F6" s="14">
        <v>180.572057</v>
      </c>
      <c r="G6" s="14">
        <v>380.315951</v>
      </c>
      <c r="H6" s="14">
        <v>2.251796</v>
      </c>
      <c r="I6" s="14">
        <v>0.99997747816918</v>
      </c>
      <c r="J6" s="14">
        <v>0.934890489257593</v>
      </c>
      <c r="K6" s="13"/>
      <c r="L6" s="14">
        <v>1.0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18</v>
      </c>
      <c r="B7" s="14" t="s">
        <v>32</v>
      </c>
      <c r="C7" s="14">
        <v>3.907448</v>
      </c>
      <c r="D7" s="14">
        <v>489.852397</v>
      </c>
      <c r="E7" s="14">
        <v>137.009558</v>
      </c>
      <c r="F7" s="14">
        <v>1.109981</v>
      </c>
      <c r="G7" s="14">
        <v>0.718028</v>
      </c>
      <c r="H7" s="14">
        <v>1.732575</v>
      </c>
      <c r="I7" s="14">
        <v>1.0</v>
      </c>
      <c r="J7" s="14">
        <v>0.8838600321214168</v>
      </c>
      <c r="K7" s="13"/>
      <c r="L7" s="14">
        <v>1.0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19</v>
      </c>
      <c r="B8" s="14" t="s">
        <v>32</v>
      </c>
      <c r="C8" s="14">
        <v>3.907448</v>
      </c>
      <c r="D8" s="14">
        <v>0.100626</v>
      </c>
      <c r="E8" s="14">
        <v>19.134954</v>
      </c>
      <c r="F8" s="14">
        <v>2.152501</v>
      </c>
      <c r="G8" s="14">
        <v>0.041983</v>
      </c>
      <c r="H8" s="14">
        <v>1.650034</v>
      </c>
      <c r="I8" s="14">
        <v>1.0</v>
      </c>
      <c r="J8" s="14">
        <v>0.4331972557421853</v>
      </c>
      <c r="K8" s="13"/>
      <c r="L8" s="14">
        <v>0.0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13</v>
      </c>
      <c r="B9" s="14" t="s">
        <v>34</v>
      </c>
      <c r="C9" s="14">
        <v>4.520128</v>
      </c>
      <c r="D9" s="14">
        <v>877.272773</v>
      </c>
      <c r="E9" s="14">
        <v>55.868831</v>
      </c>
      <c r="F9" s="14">
        <v>7.689505</v>
      </c>
      <c r="G9" s="14">
        <v>1.445709</v>
      </c>
      <c r="H9" s="14">
        <v>7.067151</v>
      </c>
      <c r="I9" s="14">
        <v>1.0</v>
      </c>
      <c r="J9" s="14">
        <v>0.9011993618618618</v>
      </c>
      <c r="K9" s="13"/>
      <c r="L9" s="14">
        <v>0.0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14</v>
      </c>
      <c r="B10" s="14" t="s">
        <v>34</v>
      </c>
      <c r="C10" s="14">
        <v>4.520128</v>
      </c>
      <c r="D10" s="14">
        <v>9.196076</v>
      </c>
      <c r="E10" s="14">
        <v>30.016034</v>
      </c>
      <c r="F10" s="14">
        <v>4.423419</v>
      </c>
      <c r="G10" s="14">
        <v>0.312669</v>
      </c>
      <c r="H10" s="14">
        <v>7.069547</v>
      </c>
      <c r="I10" s="14">
        <v>1.0</v>
      </c>
      <c r="J10" s="14">
        <v>0.9776869744744744</v>
      </c>
      <c r="K10" s="13"/>
      <c r="L10" s="14">
        <v>0.0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16</v>
      </c>
      <c r="B11" s="14" t="s">
        <v>34</v>
      </c>
      <c r="C11" s="14">
        <v>4.520128</v>
      </c>
      <c r="D11" s="14">
        <v>801.928154</v>
      </c>
      <c r="E11" s="14">
        <v>60.400471</v>
      </c>
      <c r="F11" s="14">
        <v>7.690776</v>
      </c>
      <c r="G11" s="14">
        <v>1.308081</v>
      </c>
      <c r="H11" s="14">
        <v>7.083891</v>
      </c>
      <c r="I11" s="14">
        <v>1.0</v>
      </c>
      <c r="J11" s="14">
        <v>0.9159815690690692</v>
      </c>
      <c r="K11" s="13"/>
      <c r="L11" s="14">
        <v>0.0</v>
      </c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33</v>
      </c>
      <c r="B12" s="14" t="s">
        <v>34</v>
      </c>
      <c r="C12" s="14">
        <v>4.520128</v>
      </c>
      <c r="D12" s="14">
        <v>32.557184</v>
      </c>
      <c r="E12" s="14">
        <v>61.442627</v>
      </c>
      <c r="F12" s="14">
        <v>0.509012</v>
      </c>
      <c r="G12" s="14">
        <v>1.752388</v>
      </c>
      <c r="H12" s="14">
        <v>7.048226</v>
      </c>
      <c r="I12" s="14">
        <v>1.0</v>
      </c>
      <c r="J12" s="14">
        <v>0.9823706831831832</v>
      </c>
      <c r="K12" s="13"/>
      <c r="L12" s="14">
        <v>0.0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17</v>
      </c>
      <c r="B13" s="14" t="s">
        <v>34</v>
      </c>
      <c r="C13" s="14">
        <v>4.520128</v>
      </c>
      <c r="D13" s="14">
        <v>8774.921727</v>
      </c>
      <c r="E13" s="14">
        <v>739.530333</v>
      </c>
      <c r="F13" s="14">
        <v>179.965374</v>
      </c>
      <c r="G13" s="14">
        <v>259.144934</v>
      </c>
      <c r="H13" s="14">
        <v>7.906218</v>
      </c>
      <c r="I13" s="14">
        <v>1.0</v>
      </c>
      <c r="J13" s="14">
        <v>0.650246509009009</v>
      </c>
      <c r="K13" s="13"/>
      <c r="L13" s="14">
        <v>0.0</v>
      </c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18</v>
      </c>
      <c r="B14" s="14" t="s">
        <v>34</v>
      </c>
      <c r="C14" s="14">
        <v>4.520128</v>
      </c>
      <c r="D14" s="14">
        <v>281.845888</v>
      </c>
      <c r="E14" s="14">
        <v>55.843429</v>
      </c>
      <c r="F14" s="14">
        <v>1.162108</v>
      </c>
      <c r="G14" s="14">
        <v>1.065311</v>
      </c>
      <c r="H14" s="14">
        <v>7.019159</v>
      </c>
      <c r="I14" s="14">
        <v>1.0</v>
      </c>
      <c r="J14" s="14">
        <v>0.974058596096096</v>
      </c>
      <c r="K14" s="13"/>
      <c r="L14" s="14">
        <v>0.0</v>
      </c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19</v>
      </c>
      <c r="B15" s="14" t="s">
        <v>34</v>
      </c>
      <c r="C15" s="14">
        <v>4.520128</v>
      </c>
      <c r="D15" s="14">
        <v>0.210778</v>
      </c>
      <c r="E15" s="14">
        <v>23.057429</v>
      </c>
      <c r="F15" s="14">
        <v>1.895559</v>
      </c>
      <c r="G15" s="14">
        <v>0.065357</v>
      </c>
      <c r="H15" s="14">
        <v>7.140193</v>
      </c>
      <c r="I15" s="14">
        <v>1.0</v>
      </c>
      <c r="J15" s="14">
        <v>0.5015575075075075</v>
      </c>
      <c r="K15" s="13"/>
      <c r="L15" s="14">
        <v>0.0</v>
      </c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13</v>
      </c>
      <c r="B16" s="14" t="s">
        <v>35</v>
      </c>
      <c r="C16" s="14">
        <v>98.165608</v>
      </c>
      <c r="D16" s="14">
        <v>37504.024683</v>
      </c>
      <c r="E16" s="14">
        <v>3571.108378</v>
      </c>
      <c r="F16" s="14">
        <v>73.792482</v>
      </c>
      <c r="G16" s="14">
        <v>23.238449</v>
      </c>
      <c r="H16" s="14">
        <v>35.322624</v>
      </c>
      <c r="I16" s="14">
        <v>1.0</v>
      </c>
      <c r="J16" s="14">
        <v>0.8961210684957085</v>
      </c>
      <c r="K16" s="13"/>
      <c r="L16" s="14">
        <v>1.0</v>
      </c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14</v>
      </c>
      <c r="B17" s="14" t="s">
        <v>35</v>
      </c>
      <c r="C17" s="14">
        <v>98.165608</v>
      </c>
      <c r="D17" s="14">
        <v>17.327924</v>
      </c>
      <c r="E17" s="14">
        <v>469.52443</v>
      </c>
      <c r="F17" s="14">
        <v>71.723089</v>
      </c>
      <c r="G17" s="14">
        <v>0.912677</v>
      </c>
      <c r="H17" s="14">
        <v>40.218364</v>
      </c>
      <c r="I17" s="14">
        <v>0.7735849056603774</v>
      </c>
      <c r="J17" s="14">
        <v>0.891836274410834</v>
      </c>
      <c r="K17" s="13"/>
      <c r="L17" s="14">
        <v>1.0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16</v>
      </c>
      <c r="B18" s="14" t="s">
        <v>35</v>
      </c>
      <c r="C18" s="14">
        <v>98.165608</v>
      </c>
      <c r="D18" s="14">
        <v>34190.069406</v>
      </c>
      <c r="E18" s="14">
        <v>3619.111379</v>
      </c>
      <c r="F18" s="14">
        <v>73.897318</v>
      </c>
      <c r="G18" s="14">
        <v>30.414368</v>
      </c>
      <c r="H18" s="14">
        <v>40.126044</v>
      </c>
      <c r="I18" s="14">
        <v>1.0</v>
      </c>
      <c r="J18" s="14">
        <v>0.9001988342025892</v>
      </c>
      <c r="K18" s="13"/>
      <c r="L18" s="14">
        <v>1.0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33</v>
      </c>
      <c r="B19" s="14" t="s">
        <v>35</v>
      </c>
      <c r="C19" s="14">
        <v>98.165608</v>
      </c>
      <c r="D19" s="14">
        <v>317.719015</v>
      </c>
      <c r="E19" s="14">
        <v>1009.330486</v>
      </c>
      <c r="F19" s="14">
        <v>0.593055</v>
      </c>
      <c r="G19" s="14">
        <v>22.336701</v>
      </c>
      <c r="H19" s="14">
        <v>38.95004</v>
      </c>
      <c r="I19" s="14">
        <v>1.0</v>
      </c>
      <c r="J19" s="14">
        <v>0.8838339769214316</v>
      </c>
      <c r="K19" s="13"/>
      <c r="L19" s="14">
        <v>0.0</v>
      </c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17</v>
      </c>
      <c r="B20" s="14" t="s">
        <v>35</v>
      </c>
      <c r="C20" s="14">
        <v>98.165608</v>
      </c>
      <c r="D20" s="14">
        <v>244919.302378</v>
      </c>
      <c r="E20" s="14">
        <v>7685.095434</v>
      </c>
      <c r="F20" s="14">
        <v>181.749781</v>
      </c>
      <c r="G20" s="14">
        <v>7056.405026</v>
      </c>
      <c r="H20" s="14">
        <v>68.00565399999999</v>
      </c>
      <c r="I20" s="14">
        <v>0.999999062807007</v>
      </c>
      <c r="J20" s="14">
        <v>0.9673323412293716</v>
      </c>
      <c r="K20" s="13"/>
      <c r="L20" s="14">
        <v>1.0</v>
      </c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14" t="s">
        <v>18</v>
      </c>
      <c r="B21" s="14" t="s">
        <v>35</v>
      </c>
      <c r="C21" s="14">
        <v>98.165608</v>
      </c>
      <c r="D21" s="14">
        <v>9231.395431</v>
      </c>
      <c r="E21" s="14">
        <v>3571.092819</v>
      </c>
      <c r="F21" s="14">
        <v>5.653457</v>
      </c>
      <c r="G21" s="14">
        <v>14.393459</v>
      </c>
      <c r="H21" s="14">
        <v>40.085231</v>
      </c>
      <c r="I21" s="14">
        <v>1.0</v>
      </c>
      <c r="J21" s="14">
        <v>0.9282479266266236</v>
      </c>
      <c r="K21" s="13"/>
      <c r="L21" s="14">
        <v>1.0</v>
      </c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14" t="s">
        <v>19</v>
      </c>
      <c r="B22" s="14" t="s">
        <v>35</v>
      </c>
      <c r="C22" s="14">
        <v>98.165608</v>
      </c>
      <c r="D22" s="14">
        <v>1.163651</v>
      </c>
      <c r="E22" s="14">
        <v>469.46954</v>
      </c>
      <c r="F22" s="14">
        <v>71.713894</v>
      </c>
      <c r="G22" s="14">
        <v>0.924345</v>
      </c>
      <c r="H22" s="14">
        <v>39.891686</v>
      </c>
      <c r="I22" s="14">
        <v>1.0</v>
      </c>
      <c r="J22" s="14">
        <v>0.342055191123675</v>
      </c>
      <c r="K22" s="13"/>
      <c r="L22" s="14">
        <v>0.0</v>
      </c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14" t="s">
        <v>13</v>
      </c>
      <c r="B23" s="14" t="s">
        <v>36</v>
      </c>
      <c r="C23" s="14">
        <v>3.200128</v>
      </c>
      <c r="D23" s="14">
        <v>528.102334</v>
      </c>
      <c r="E23" s="14">
        <v>32.674254</v>
      </c>
      <c r="F23" s="14">
        <v>4.450214</v>
      </c>
      <c r="G23" s="14">
        <v>0.653439</v>
      </c>
      <c r="H23" s="14">
        <v>2.220606</v>
      </c>
      <c r="I23" s="14">
        <v>1.0</v>
      </c>
      <c r="J23" s="14">
        <v>0.9285163213842342</v>
      </c>
      <c r="K23" s="13"/>
      <c r="L23" s="14">
        <v>0.0</v>
      </c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14" t="s">
        <v>14</v>
      </c>
      <c r="B24" s="14" t="s">
        <v>36</v>
      </c>
      <c r="C24" s="14">
        <v>3.200128</v>
      </c>
      <c r="D24" s="14">
        <v>0.133438</v>
      </c>
      <c r="E24" s="14">
        <v>16.581159</v>
      </c>
      <c r="F24" s="14">
        <v>0.861281</v>
      </c>
      <c r="G24" s="14">
        <v>0.037147</v>
      </c>
      <c r="H24" s="14">
        <v>2.493913</v>
      </c>
      <c r="I24" s="14">
        <v>1.0</v>
      </c>
      <c r="J24" s="14">
        <v>0.9627232405455394</v>
      </c>
      <c r="K24" s="13"/>
      <c r="L24" s="14">
        <v>0.0</v>
      </c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14" t="s">
        <v>16</v>
      </c>
      <c r="B25" s="14" t="s">
        <v>36</v>
      </c>
      <c r="C25" s="14">
        <v>3.200128</v>
      </c>
      <c r="D25" s="14">
        <v>599.594679</v>
      </c>
      <c r="E25" s="14">
        <v>35.877679</v>
      </c>
      <c r="F25" s="14">
        <v>4.451017</v>
      </c>
      <c r="G25" s="14">
        <v>0.697506</v>
      </c>
      <c r="H25" s="14">
        <v>2.479877</v>
      </c>
      <c r="I25" s="14">
        <v>1.0</v>
      </c>
      <c r="J25" s="14">
        <v>0.9103856903726286</v>
      </c>
      <c r="K25" s="13"/>
      <c r="L25" s="14">
        <v>0.0</v>
      </c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14" t="s">
        <v>33</v>
      </c>
      <c r="B26" s="14" t="s">
        <v>36</v>
      </c>
      <c r="C26" s="14">
        <v>3.200128</v>
      </c>
      <c r="D26" s="14">
        <v>14.52134</v>
      </c>
      <c r="E26" s="14">
        <v>33.337181</v>
      </c>
      <c r="F26" s="14">
        <v>0.308416</v>
      </c>
      <c r="G26" s="14">
        <v>0.83417</v>
      </c>
      <c r="H26" s="14">
        <v>2.48934</v>
      </c>
      <c r="I26" s="14">
        <v>1.0</v>
      </c>
      <c r="J26" s="14">
        <v>0.9672384890746114</v>
      </c>
      <c r="K26" s="13"/>
      <c r="L26" s="14">
        <v>0.0</v>
      </c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14" t="s">
        <v>17</v>
      </c>
      <c r="B27" s="14" t="s">
        <v>36</v>
      </c>
      <c r="C27" s="14">
        <v>3.200128</v>
      </c>
      <c r="D27" s="14">
        <v>5786.282678</v>
      </c>
      <c r="E27" s="14">
        <v>728.984136</v>
      </c>
      <c r="F27" s="14">
        <v>179.823617</v>
      </c>
      <c r="G27" s="14">
        <v>140.79873</v>
      </c>
      <c r="H27" s="14">
        <v>2.751471</v>
      </c>
      <c r="I27" s="14">
        <v>1.0</v>
      </c>
      <c r="J27" s="14">
        <v>0.9608767019102408</v>
      </c>
      <c r="K27" s="13"/>
      <c r="L27" s="14">
        <v>0.0</v>
      </c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14" t="s">
        <v>18</v>
      </c>
      <c r="B28" s="14" t="s">
        <v>36</v>
      </c>
      <c r="C28" s="14">
        <v>3.200128</v>
      </c>
      <c r="D28" s="14">
        <v>236.11557</v>
      </c>
      <c r="E28" s="14">
        <v>32.668708</v>
      </c>
      <c r="F28" s="14">
        <v>0.859915</v>
      </c>
      <c r="G28" s="14">
        <v>0.486779</v>
      </c>
      <c r="H28" s="14">
        <v>2.498287</v>
      </c>
      <c r="I28" s="14">
        <v>1.0</v>
      </c>
      <c r="J28" s="14">
        <v>0.9570854366627866</v>
      </c>
      <c r="K28" s="13"/>
      <c r="L28" s="14">
        <v>0.0</v>
      </c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14" t="s">
        <v>19</v>
      </c>
      <c r="B29" s="14" t="s">
        <v>36</v>
      </c>
      <c r="C29" s="14">
        <v>3.200128</v>
      </c>
      <c r="D29" s="14">
        <v>0.12285</v>
      </c>
      <c r="E29" s="14">
        <v>16.58267</v>
      </c>
      <c r="F29" s="14">
        <v>0.861279</v>
      </c>
      <c r="G29" s="14">
        <v>0.04193</v>
      </c>
      <c r="H29" s="14">
        <v>2.495869</v>
      </c>
      <c r="I29" s="14">
        <v>1.0</v>
      </c>
      <c r="J29" s="14">
        <v>0.6803058668776916</v>
      </c>
      <c r="K29" s="13"/>
      <c r="L29" s="14">
        <v>0.0</v>
      </c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14" t="s">
        <v>13</v>
      </c>
      <c r="B30" s="14" t="s">
        <v>37</v>
      </c>
      <c r="C30" s="14">
        <v>255.645408</v>
      </c>
      <c r="D30" s="14">
        <v>42825.819774</v>
      </c>
      <c r="E30" s="14">
        <v>3483.23488</v>
      </c>
      <c r="F30" s="14">
        <v>7.503357</v>
      </c>
      <c r="G30" s="14">
        <v>47.376517</v>
      </c>
      <c r="H30" s="14">
        <v>74.11953600000001</v>
      </c>
      <c r="I30" s="14">
        <v>1.0</v>
      </c>
      <c r="J30" s="14">
        <v>0.9405820563312738</v>
      </c>
      <c r="K30" s="13"/>
      <c r="L30" s="14">
        <v>1.0</v>
      </c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14" t="s">
        <v>14</v>
      </c>
      <c r="B31" s="14" t="s">
        <v>37</v>
      </c>
      <c r="C31" s="14">
        <v>255.645408</v>
      </c>
      <c r="D31" s="14">
        <v>64.350128</v>
      </c>
      <c r="E31" s="14">
        <v>1287.910684</v>
      </c>
      <c r="F31" s="14">
        <v>255.674631</v>
      </c>
      <c r="G31" s="14">
        <v>1.907755</v>
      </c>
      <c r="H31" s="14">
        <v>3744.289086</v>
      </c>
      <c r="I31" s="14">
        <v>0.492668841763869</v>
      </c>
      <c r="J31" s="14">
        <v>0.7079340808428185</v>
      </c>
      <c r="K31" s="13"/>
      <c r="L31" s="14">
        <v>1.0</v>
      </c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14" t="s">
        <v>16</v>
      </c>
      <c r="B32" s="14" t="s">
        <v>37</v>
      </c>
      <c r="C32" s="14">
        <v>255.645408</v>
      </c>
      <c r="D32" s="13"/>
      <c r="E32" s="13"/>
      <c r="F32" s="13"/>
      <c r="G32" s="13"/>
      <c r="H32" s="13"/>
      <c r="I32" s="13"/>
      <c r="J32" s="13"/>
      <c r="K32" s="14" t="s">
        <v>74</v>
      </c>
      <c r="L32" s="14">
        <v>0.0</v>
      </c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14" t="s">
        <v>33</v>
      </c>
      <c r="B33" s="14" t="s">
        <v>37</v>
      </c>
      <c r="C33" s="14">
        <v>255.645408</v>
      </c>
      <c r="D33" s="14">
        <v>368.724331</v>
      </c>
      <c r="E33" s="14">
        <v>2625.844421</v>
      </c>
      <c r="F33" s="14">
        <v>0.73057</v>
      </c>
      <c r="G33" s="14">
        <v>66.907402</v>
      </c>
      <c r="H33" s="14">
        <v>55.320886</v>
      </c>
      <c r="I33" s="14">
        <v>1.0</v>
      </c>
      <c r="J33" s="14">
        <v>0.5949927417607689</v>
      </c>
      <c r="K33" s="13"/>
      <c r="L33" s="14">
        <v>0.0</v>
      </c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14" t="s">
        <v>17</v>
      </c>
      <c r="B34" s="14" t="s">
        <v>37</v>
      </c>
      <c r="C34" s="14">
        <v>255.645408</v>
      </c>
      <c r="D34" s="13"/>
      <c r="E34" s="13"/>
      <c r="F34" s="13"/>
      <c r="G34" s="13"/>
      <c r="H34" s="13"/>
      <c r="I34" s="13"/>
      <c r="J34" s="13"/>
      <c r="K34" s="14" t="s">
        <v>75</v>
      </c>
      <c r="L34" s="14">
        <v>0.0</v>
      </c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14" t="s">
        <v>18</v>
      </c>
      <c r="B35" s="14" t="s">
        <v>37</v>
      </c>
      <c r="C35" s="14">
        <v>255.645408</v>
      </c>
      <c r="D35" s="14">
        <v>22549.079018</v>
      </c>
      <c r="E35" s="14">
        <v>3483.220097</v>
      </c>
      <c r="F35" s="14">
        <v>10.320783</v>
      </c>
      <c r="G35" s="14">
        <v>31.487923</v>
      </c>
      <c r="H35" s="14">
        <v>64.53965000000001</v>
      </c>
      <c r="I35" s="14">
        <v>1.0</v>
      </c>
      <c r="J35" s="14">
        <v>0.9241877962635888</v>
      </c>
      <c r="K35" s="13"/>
      <c r="L35" s="14">
        <v>1.0</v>
      </c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14" t="s">
        <v>19</v>
      </c>
      <c r="B36" s="14" t="s">
        <v>37</v>
      </c>
      <c r="C36" s="14">
        <v>255.645408</v>
      </c>
      <c r="D36" s="14">
        <v>0.937761</v>
      </c>
      <c r="E36" s="14">
        <v>1287.773333</v>
      </c>
      <c r="F36" s="14">
        <v>255.648398</v>
      </c>
      <c r="G36" s="14">
        <v>0.538975</v>
      </c>
      <c r="H36" s="14">
        <v>84.087522</v>
      </c>
      <c r="I36" s="14">
        <v>1.0</v>
      </c>
      <c r="J36" s="14">
        <v>0.7521821356477045</v>
      </c>
      <c r="K36" s="13"/>
      <c r="L36" s="14">
        <v>1.0</v>
      </c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14" t="s">
        <v>13</v>
      </c>
      <c r="B37" s="14" t="s">
        <v>38</v>
      </c>
      <c r="C37" s="14">
        <v>0.200128</v>
      </c>
      <c r="D37" s="14">
        <v>64.960443</v>
      </c>
      <c r="E37" s="14">
        <v>16.138929</v>
      </c>
      <c r="F37" s="14">
        <v>5.42504</v>
      </c>
      <c r="G37" s="14">
        <v>0.502795</v>
      </c>
      <c r="H37" s="14">
        <v>1.088825</v>
      </c>
      <c r="I37" s="14">
        <v>1.0</v>
      </c>
      <c r="J37" s="14">
        <v>0.7026516711418999</v>
      </c>
      <c r="K37" s="13"/>
      <c r="L37" s="14">
        <v>0.0</v>
      </c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14" t="s">
        <v>14</v>
      </c>
      <c r="B38" s="14" t="s">
        <v>38</v>
      </c>
      <c r="C38" s="14">
        <v>0.200128</v>
      </c>
      <c r="D38" s="14">
        <v>0.542394</v>
      </c>
      <c r="E38" s="14">
        <v>1.175016</v>
      </c>
      <c r="F38" s="14">
        <v>0.247882</v>
      </c>
      <c r="G38" s="14">
        <v>0.043371</v>
      </c>
      <c r="H38" s="14">
        <v>1.875601</v>
      </c>
      <c r="I38" s="14">
        <v>0.2788555555555556</v>
      </c>
      <c r="J38" s="14">
        <v>0.2518226908859554</v>
      </c>
      <c r="K38" s="13"/>
      <c r="L38" s="14">
        <v>0.0</v>
      </c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14" t="s">
        <v>16</v>
      </c>
      <c r="B39" s="14" t="s">
        <v>38</v>
      </c>
      <c r="C39" s="14">
        <v>0.200128</v>
      </c>
      <c r="D39" s="13"/>
      <c r="E39" s="13"/>
      <c r="F39" s="13"/>
      <c r="G39" s="13"/>
      <c r="H39" s="13"/>
      <c r="I39" s="13"/>
      <c r="J39" s="13"/>
      <c r="K39" s="14" t="s">
        <v>76</v>
      </c>
      <c r="L39" s="14">
        <v>0.0</v>
      </c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14" t="s">
        <v>33</v>
      </c>
      <c r="B40" s="14" t="s">
        <v>38</v>
      </c>
      <c r="C40" s="14">
        <v>0.200128</v>
      </c>
      <c r="D40" s="14">
        <v>4.566683</v>
      </c>
      <c r="E40" s="14">
        <v>2.922471</v>
      </c>
      <c r="F40" s="14">
        <v>0.434253</v>
      </c>
      <c r="G40" s="14">
        <v>0.478228</v>
      </c>
      <c r="H40" s="14">
        <v>1.275854</v>
      </c>
      <c r="I40" s="14">
        <v>1.0</v>
      </c>
      <c r="J40" s="14">
        <v>0.7692935499906738</v>
      </c>
      <c r="K40" s="13"/>
      <c r="L40" s="14">
        <v>0.0</v>
      </c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14" t="s">
        <v>17</v>
      </c>
      <c r="B41" s="14" t="s">
        <v>38</v>
      </c>
      <c r="C41" s="14">
        <v>0.200128</v>
      </c>
      <c r="D41" s="14">
        <v>31689.00649</v>
      </c>
      <c r="E41" s="14">
        <v>472.840353</v>
      </c>
      <c r="F41" s="14">
        <v>188.19181</v>
      </c>
      <c r="G41" s="14">
        <v>28.077951</v>
      </c>
      <c r="H41" s="14">
        <v>1.288926</v>
      </c>
      <c r="I41" s="14">
        <v>0.981</v>
      </c>
      <c r="J41" s="14">
        <v>0.7365702971916219</v>
      </c>
      <c r="K41" s="13"/>
      <c r="L41" s="14">
        <v>0.0</v>
      </c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14" t="s">
        <v>18</v>
      </c>
      <c r="B42" s="14" t="s">
        <v>38</v>
      </c>
      <c r="C42" s="14">
        <v>0.200128</v>
      </c>
      <c r="D42" s="14">
        <v>17.578739</v>
      </c>
      <c r="E42" s="14">
        <v>15.803251</v>
      </c>
      <c r="F42" s="14">
        <v>1.099165</v>
      </c>
      <c r="G42" s="14">
        <v>0.498772</v>
      </c>
      <c r="H42" s="14">
        <v>1.262612</v>
      </c>
      <c r="I42" s="14">
        <v>1.0</v>
      </c>
      <c r="J42" s="14">
        <v>0.6774240494217239</v>
      </c>
      <c r="K42" s="13"/>
      <c r="L42" s="14">
        <v>0.0</v>
      </c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14" t="s">
        <v>19</v>
      </c>
      <c r="B43" s="14" t="s">
        <v>38</v>
      </c>
      <c r="C43" s="14">
        <v>0.200128</v>
      </c>
      <c r="D43" s="14">
        <v>0.217355</v>
      </c>
      <c r="E43" s="14">
        <v>1.085906</v>
      </c>
      <c r="F43" s="14">
        <v>0.233523</v>
      </c>
      <c r="G43" s="14">
        <v>0.025918</v>
      </c>
      <c r="H43" s="14">
        <v>1.420059</v>
      </c>
      <c r="I43" s="14">
        <v>0.83348</v>
      </c>
      <c r="J43" s="14">
        <v>0.3075130855996488</v>
      </c>
      <c r="K43" s="13"/>
      <c r="L43" s="14">
        <v>0.0</v>
      </c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14" t="s">
        <v>13</v>
      </c>
      <c r="B44" s="14" t="s">
        <v>39</v>
      </c>
      <c r="C44" s="14">
        <v>3.340128</v>
      </c>
      <c r="D44" s="14">
        <v>615.779768</v>
      </c>
      <c r="E44" s="14">
        <v>46.788815</v>
      </c>
      <c r="F44" s="14">
        <v>5.835873</v>
      </c>
      <c r="G44" s="14">
        <v>0.906593</v>
      </c>
      <c r="H44" s="14">
        <v>3.503743</v>
      </c>
      <c r="I44" s="14">
        <v>1.0</v>
      </c>
      <c r="J44" s="14">
        <v>0.8798784529702399</v>
      </c>
      <c r="K44" s="13"/>
      <c r="L44" s="14">
        <v>0.0</v>
      </c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14" t="s">
        <v>14</v>
      </c>
      <c r="B45" s="14" t="s">
        <v>39</v>
      </c>
      <c r="C45" s="14">
        <v>3.340128</v>
      </c>
      <c r="D45" s="14">
        <v>6.164595</v>
      </c>
      <c r="E45" s="14">
        <v>21.920111</v>
      </c>
      <c r="F45" s="14">
        <v>3.325381</v>
      </c>
      <c r="G45" s="14">
        <v>0.180901</v>
      </c>
      <c r="H45" s="14">
        <v>3.905625</v>
      </c>
      <c r="I45" s="14">
        <v>1.0</v>
      </c>
      <c r="J45" s="14">
        <v>0.964307520487326</v>
      </c>
      <c r="K45" s="13"/>
      <c r="L45" s="14">
        <v>0.0</v>
      </c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14" t="s">
        <v>16</v>
      </c>
      <c r="B46" s="14" t="s">
        <v>39</v>
      </c>
      <c r="C46" s="14">
        <v>3.340128</v>
      </c>
      <c r="D46" s="14">
        <v>718.509272</v>
      </c>
      <c r="E46" s="14">
        <v>57.464834</v>
      </c>
      <c r="F46" s="14">
        <v>5.836869</v>
      </c>
      <c r="G46" s="14">
        <v>1.012648</v>
      </c>
      <c r="H46" s="14">
        <v>3.961915</v>
      </c>
      <c r="I46" s="14">
        <v>1.0</v>
      </c>
      <c r="J46" s="14">
        <v>0.8955727737316841</v>
      </c>
      <c r="K46" s="13"/>
      <c r="L46" s="14">
        <v>0.0</v>
      </c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14" t="s">
        <v>33</v>
      </c>
      <c r="B47" s="14" t="s">
        <v>39</v>
      </c>
      <c r="C47" s="14">
        <v>3.340128</v>
      </c>
      <c r="D47" s="14">
        <v>22.978651</v>
      </c>
      <c r="E47" s="14">
        <v>44.924894</v>
      </c>
      <c r="F47" s="14">
        <v>0.390113</v>
      </c>
      <c r="G47" s="14">
        <v>1.142655</v>
      </c>
      <c r="H47" s="14">
        <v>3.977006</v>
      </c>
      <c r="I47" s="14">
        <v>1.0</v>
      </c>
      <c r="J47" s="14">
        <v>0.9706317984770574</v>
      </c>
      <c r="K47" s="13"/>
      <c r="L47" s="14">
        <v>0.0</v>
      </c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14" t="s">
        <v>17</v>
      </c>
      <c r="B48" s="14" t="s">
        <v>39</v>
      </c>
      <c r="C48" s="14">
        <v>3.340128</v>
      </c>
      <c r="D48" s="14">
        <v>9597.256562</v>
      </c>
      <c r="E48" s="14">
        <v>731.736191</v>
      </c>
      <c r="F48" s="14">
        <v>179.917222</v>
      </c>
      <c r="G48" s="14">
        <v>204.734617</v>
      </c>
      <c r="H48" s="14">
        <v>5.145458</v>
      </c>
      <c r="I48" s="14">
        <v>1.0</v>
      </c>
      <c r="J48" s="14">
        <v>0.7537553781837372</v>
      </c>
      <c r="K48" s="13"/>
      <c r="L48" s="14">
        <v>0.0</v>
      </c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14" t="s">
        <v>18</v>
      </c>
      <c r="B49" s="14" t="s">
        <v>39</v>
      </c>
      <c r="C49" s="14">
        <v>3.340128</v>
      </c>
      <c r="D49" s="14">
        <v>245.259495</v>
      </c>
      <c r="E49" s="14">
        <v>46.7838</v>
      </c>
      <c r="F49" s="14">
        <v>0.988241</v>
      </c>
      <c r="G49" s="14">
        <v>0.758594</v>
      </c>
      <c r="H49" s="14">
        <v>4.043396</v>
      </c>
      <c r="I49" s="14">
        <v>1.0</v>
      </c>
      <c r="J49" s="14">
        <v>0.9414293833555364</v>
      </c>
      <c r="K49" s="13"/>
      <c r="L49" s="14">
        <v>0.0</v>
      </c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14" t="s">
        <v>19</v>
      </c>
      <c r="B50" s="14" t="s">
        <v>39</v>
      </c>
      <c r="C50" s="14">
        <v>3.340128</v>
      </c>
      <c r="D50" s="14">
        <v>0.143577</v>
      </c>
      <c r="E50" s="14">
        <v>17.17972</v>
      </c>
      <c r="F50" s="14">
        <v>1.147901</v>
      </c>
      <c r="G50" s="14">
        <v>0.049858</v>
      </c>
      <c r="H50" s="14">
        <v>3.99536</v>
      </c>
      <c r="I50" s="14">
        <v>1.0</v>
      </c>
      <c r="J50" s="14">
        <v>0.6061677930784508</v>
      </c>
      <c r="K50" s="13"/>
      <c r="L50" s="14">
        <v>0.0</v>
      </c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14" t="s">
        <v>13</v>
      </c>
      <c r="B51" s="14" t="s">
        <v>40</v>
      </c>
      <c r="C51" s="14">
        <v>162.039016</v>
      </c>
      <c r="D51" s="14">
        <v>32918.712976</v>
      </c>
      <c r="E51" s="14">
        <v>2657.264693</v>
      </c>
      <c r="F51" s="14">
        <v>18.395155</v>
      </c>
      <c r="G51" s="14">
        <v>42.450037</v>
      </c>
      <c r="H51" s="14">
        <v>31.949507</v>
      </c>
      <c r="I51" s="14">
        <v>1.0</v>
      </c>
      <c r="J51" s="14">
        <v>0.7785455224237998</v>
      </c>
      <c r="K51" s="13"/>
      <c r="L51" s="14">
        <v>1.0</v>
      </c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14" t="s">
        <v>14</v>
      </c>
      <c r="B52" s="14" t="s">
        <v>40</v>
      </c>
      <c r="C52" s="14">
        <v>162.039016</v>
      </c>
      <c r="D52" s="14">
        <v>50.615441</v>
      </c>
      <c r="E52" s="14">
        <v>790.723699</v>
      </c>
      <c r="F52" s="14">
        <v>154.631718</v>
      </c>
      <c r="G52" s="14">
        <v>1.219792</v>
      </c>
      <c r="H52" s="14">
        <v>54.701855</v>
      </c>
      <c r="I52" s="14">
        <v>0.5256410256410257</v>
      </c>
      <c r="J52" s="14">
        <v>0.7568464186680274</v>
      </c>
      <c r="K52" s="13"/>
      <c r="L52" s="14">
        <v>1.0</v>
      </c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14" t="s">
        <v>16</v>
      </c>
      <c r="B53" s="14" t="s">
        <v>40</v>
      </c>
      <c r="C53" s="14">
        <v>162.039016</v>
      </c>
      <c r="D53" s="13"/>
      <c r="E53" s="13"/>
      <c r="F53" s="13"/>
      <c r="G53" s="13"/>
      <c r="H53" s="13"/>
      <c r="I53" s="13"/>
      <c r="J53" s="13"/>
      <c r="K53" s="14" t="s">
        <v>77</v>
      </c>
      <c r="L53" s="14">
        <v>0.0</v>
      </c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14" t="s">
        <v>33</v>
      </c>
      <c r="B54" s="14" t="s">
        <v>40</v>
      </c>
      <c r="C54" s="14">
        <v>162.039016</v>
      </c>
      <c r="D54" s="14">
        <v>262.383621</v>
      </c>
      <c r="E54" s="14">
        <v>1665.523813</v>
      </c>
      <c r="F54" s="14">
        <v>0.56776</v>
      </c>
      <c r="G54" s="14">
        <v>33.988275</v>
      </c>
      <c r="H54" s="14">
        <v>32.097969</v>
      </c>
      <c r="I54" s="14">
        <v>1.0</v>
      </c>
      <c r="J54" s="14">
        <v>0.6895863867173229</v>
      </c>
      <c r="K54" s="13"/>
      <c r="L54" s="14">
        <v>0.0</v>
      </c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4" t="s">
        <v>17</v>
      </c>
      <c r="B55" s="14" t="s">
        <v>40</v>
      </c>
      <c r="C55" s="13"/>
      <c r="D55" s="13"/>
      <c r="E55" s="13"/>
      <c r="F55" s="13"/>
      <c r="G55" s="13"/>
      <c r="H55" s="13"/>
      <c r="I55" s="13"/>
      <c r="J55" s="13"/>
      <c r="K55" s="14" t="s">
        <v>72</v>
      </c>
      <c r="L55" s="14">
        <v>0.0</v>
      </c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14" t="s">
        <v>18</v>
      </c>
      <c r="B56" s="14" t="s">
        <v>40</v>
      </c>
      <c r="C56" s="14">
        <v>162.039016</v>
      </c>
      <c r="D56" s="14">
        <v>16004.816342</v>
      </c>
      <c r="E56" s="14">
        <v>2657.262932</v>
      </c>
      <c r="F56" s="14">
        <v>8.611767</v>
      </c>
      <c r="G56" s="14">
        <v>32.960706</v>
      </c>
      <c r="H56" s="14">
        <v>33.712536</v>
      </c>
      <c r="I56" s="14">
        <v>1.0</v>
      </c>
      <c r="J56" s="14">
        <v>0.8655455067597381</v>
      </c>
      <c r="K56" s="13"/>
      <c r="L56" s="14">
        <v>1.0</v>
      </c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14" t="s">
        <v>19</v>
      </c>
      <c r="B57" s="14" t="s">
        <v>40</v>
      </c>
      <c r="C57" s="14">
        <v>162.039016</v>
      </c>
      <c r="D57" s="14">
        <v>0.752365</v>
      </c>
      <c r="E57" s="14">
        <v>790.619145</v>
      </c>
      <c r="F57" s="14">
        <v>154.609079</v>
      </c>
      <c r="G57" s="14">
        <v>0.470372</v>
      </c>
      <c r="H57" s="14">
        <v>41.433791</v>
      </c>
      <c r="I57" s="14">
        <v>1.0</v>
      </c>
      <c r="J57" s="14">
        <v>0.6034985257013492</v>
      </c>
      <c r="K57" s="13"/>
      <c r="L57" s="14">
        <v>0.0</v>
      </c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14" t="s">
        <v>13</v>
      </c>
      <c r="B58" s="14" t="s">
        <v>41</v>
      </c>
      <c r="C58" s="14">
        <v>18.712096</v>
      </c>
      <c r="D58" s="14">
        <v>2075.140129</v>
      </c>
      <c r="E58" s="14">
        <v>272.214059</v>
      </c>
      <c r="F58" s="14">
        <v>3.0654</v>
      </c>
      <c r="G58" s="14">
        <v>3.545244</v>
      </c>
      <c r="H58" s="14">
        <v>10.669015</v>
      </c>
      <c r="I58" s="14">
        <v>1.0</v>
      </c>
      <c r="J58" s="14">
        <v>0.9601405303469056</v>
      </c>
      <c r="K58" s="13"/>
      <c r="L58" s="14">
        <v>1.0</v>
      </c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14" t="s">
        <v>14</v>
      </c>
      <c r="B59" s="14" t="s">
        <v>41</v>
      </c>
      <c r="C59" s="14">
        <v>18.712096</v>
      </c>
      <c r="D59" s="14">
        <v>16.333375</v>
      </c>
      <c r="E59" s="14">
        <v>94.692239</v>
      </c>
      <c r="F59" s="14">
        <v>18.751844</v>
      </c>
      <c r="G59" s="14">
        <v>0.233425</v>
      </c>
      <c r="H59" s="14">
        <v>13.726978</v>
      </c>
      <c r="I59" s="14">
        <v>0.5</v>
      </c>
      <c r="J59" s="14">
        <v>0.8155797836455296</v>
      </c>
      <c r="K59" s="13"/>
      <c r="L59" s="14">
        <v>0.0</v>
      </c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14" t="s">
        <v>16</v>
      </c>
      <c r="B60" s="14" t="s">
        <v>41</v>
      </c>
      <c r="C60" s="14">
        <v>18.712096</v>
      </c>
      <c r="D60" s="14">
        <v>2164.655385</v>
      </c>
      <c r="E60" s="14">
        <v>783.325751</v>
      </c>
      <c r="F60" s="14">
        <v>3.795916</v>
      </c>
      <c r="G60" s="14">
        <v>7.692109</v>
      </c>
      <c r="H60" s="14">
        <v>10.34956</v>
      </c>
      <c r="I60" s="14">
        <v>1.0</v>
      </c>
      <c r="J60" s="14">
        <v>0.919787509252746</v>
      </c>
      <c r="K60" s="13"/>
      <c r="L60" s="14">
        <v>1.0</v>
      </c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14" t="s">
        <v>33</v>
      </c>
      <c r="B61" s="14" t="s">
        <v>41</v>
      </c>
      <c r="C61" s="14">
        <v>18.712096</v>
      </c>
      <c r="D61" s="14">
        <v>42.541695</v>
      </c>
      <c r="E61" s="14">
        <v>193.022154</v>
      </c>
      <c r="F61" s="14">
        <v>0.780289</v>
      </c>
      <c r="G61" s="14">
        <v>4.418017</v>
      </c>
      <c r="H61" s="14">
        <v>10.026696</v>
      </c>
      <c r="I61" s="14">
        <v>1.0</v>
      </c>
      <c r="J61" s="14">
        <v>0.8689819291242673</v>
      </c>
      <c r="K61" s="13"/>
      <c r="L61" s="14">
        <v>0.0</v>
      </c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14" t="s">
        <v>17</v>
      </c>
      <c r="B62" s="14" t="s">
        <v>41</v>
      </c>
      <c r="C62" s="14">
        <v>18.712096</v>
      </c>
      <c r="D62" s="13"/>
      <c r="E62" s="13"/>
      <c r="F62" s="13"/>
      <c r="G62" s="13"/>
      <c r="H62" s="13"/>
      <c r="I62" s="13"/>
      <c r="J62" s="13"/>
      <c r="K62" s="14" t="s">
        <v>73</v>
      </c>
      <c r="L62" s="14">
        <v>0.0</v>
      </c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14" t="s">
        <v>18</v>
      </c>
      <c r="B63" s="14" t="s">
        <v>41</v>
      </c>
      <c r="C63" s="14">
        <v>18.712096</v>
      </c>
      <c r="D63" s="14">
        <v>1540.316844</v>
      </c>
      <c r="E63" s="14">
        <v>272.244395</v>
      </c>
      <c r="F63" s="14">
        <v>2.687129</v>
      </c>
      <c r="G63" s="14">
        <v>2.765896</v>
      </c>
      <c r="H63" s="14">
        <v>9.171681</v>
      </c>
      <c r="I63" s="14">
        <v>1.0</v>
      </c>
      <c r="J63" s="14">
        <v>0.9271468147530224</v>
      </c>
      <c r="K63" s="13"/>
      <c r="L63" s="14">
        <v>1.0</v>
      </c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14" t="s">
        <v>19</v>
      </c>
      <c r="B64" s="14" t="s">
        <v>41</v>
      </c>
      <c r="C64" s="14">
        <v>18.712096</v>
      </c>
      <c r="D64" s="14">
        <v>0.252366</v>
      </c>
      <c r="E64" s="14">
        <v>94.474676</v>
      </c>
      <c r="F64" s="14">
        <v>18.715492</v>
      </c>
      <c r="G64" s="14">
        <v>0.308439</v>
      </c>
      <c r="H64" s="14">
        <v>11.641146</v>
      </c>
      <c r="I64" s="14">
        <v>1.0</v>
      </c>
      <c r="J64" s="14">
        <v>0.7405185035454873</v>
      </c>
      <c r="K64" s="13"/>
      <c r="L64" s="14">
        <v>0.0</v>
      </c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7" width="8.63"/>
  </cols>
  <sheetData>
    <row r="1">
      <c r="A1" s="12" t="s">
        <v>0</v>
      </c>
      <c r="B1" s="12" t="s">
        <v>42</v>
      </c>
      <c r="C1" s="12" t="s">
        <v>28</v>
      </c>
      <c r="D1" s="12" t="s">
        <v>43</v>
      </c>
      <c r="E1" s="12" t="s">
        <v>44</v>
      </c>
      <c r="F1" s="12" t="s">
        <v>45</v>
      </c>
      <c r="G1" s="12" t="s">
        <v>46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4" t="s">
        <v>47</v>
      </c>
      <c r="B2" s="14">
        <v>6.368506</v>
      </c>
      <c r="C2" s="14">
        <v>0.5518884294248555</v>
      </c>
      <c r="D2" s="14">
        <v>0.8040375623108847</v>
      </c>
      <c r="E2" s="14" t="b">
        <v>1</v>
      </c>
      <c r="F2" s="14" t="s">
        <v>48</v>
      </c>
      <c r="G2" s="14" t="s">
        <v>49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50</v>
      </c>
      <c r="B3" s="14">
        <v>171.314463</v>
      </c>
      <c r="C3" s="14">
        <v>0.8023867410306927</v>
      </c>
      <c r="D3" s="14">
        <v>2.233794029258232</v>
      </c>
      <c r="E3" s="14" t="b">
        <v>1</v>
      </c>
      <c r="F3" s="14" t="s">
        <v>48</v>
      </c>
      <c r="G3" s="14" t="s">
        <v>51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52</v>
      </c>
      <c r="B4" s="14">
        <v>1213.164869</v>
      </c>
      <c r="C4" s="14">
        <v>0.8411843890184594</v>
      </c>
      <c r="D4" s="14">
        <v>3.083919825459635</v>
      </c>
      <c r="E4" s="14" t="b">
        <v>1</v>
      </c>
      <c r="F4" s="14" t="s">
        <v>48</v>
      </c>
      <c r="G4" s="14" t="s">
        <v>53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59</v>
      </c>
      <c r="B5" s="14">
        <v>39716.349076</v>
      </c>
      <c r="C5" s="14">
        <v>0.9048567749182769</v>
      </c>
      <c r="D5" s="14">
        <v>4.598969319153106</v>
      </c>
      <c r="E5" s="14" t="b">
        <v>1</v>
      </c>
      <c r="F5" s="14" t="s">
        <v>48</v>
      </c>
      <c r="G5" s="14" t="s">
        <v>55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54</v>
      </c>
      <c r="B6" s="14">
        <v>50681.395192</v>
      </c>
      <c r="C6" s="14">
        <v>0.8976650602289481</v>
      </c>
      <c r="D6" s="14">
        <v>4.704848561930555</v>
      </c>
      <c r="E6" s="14" t="b">
        <v>0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56</v>
      </c>
      <c r="B7" s="14">
        <v>118745.033106</v>
      </c>
      <c r="C7" s="14">
        <v>0.8682641251155698</v>
      </c>
      <c r="D7" s="14">
        <v>5.074615452909372</v>
      </c>
      <c r="E7" s="14" t="b">
        <v>0</v>
      </c>
      <c r="F7" s="14" t="s">
        <v>57</v>
      </c>
      <c r="G7" s="14" t="s">
        <v>60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61</v>
      </c>
      <c r="B8" s="14">
        <v>325736.168874</v>
      </c>
      <c r="C8" s="14">
        <v>0.8339452861302622</v>
      </c>
      <c r="D8" s="14">
        <v>5.512865984141412</v>
      </c>
      <c r="E8" s="14" t="b">
        <v>0</v>
      </c>
      <c r="F8" s="14" t="s">
        <v>57</v>
      </c>
      <c r="G8" s="14" t="s">
        <v>62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8.63"/>
  </cols>
  <sheetData>
    <row r="1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ht="15.75" customHeight="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ht="15.75" customHeight="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ht="15.75" customHeight="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ht="15.75" customHeight="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ht="15.75" customHeight="1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ht="15.75" customHeight="1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ht="15.75" customHeight="1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ht="15.75" customHeight="1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ht="15.75" customHeight="1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ht="15.75" customHeight="1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ht="15.75" customHeight="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ht="15.75" customHeight="1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ht="15.75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ht="15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ht="15.75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ht="15.75" customHeight="1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ht="15.75" customHeight="1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ht="15.7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ht="15.7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ht="15.7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ht="15.7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ht="15.7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ht="15.7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ht="15.7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ht="15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ht="15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ht="15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ht="15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ht="15.7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ht="15.7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ht="15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ht="15.7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ht="15.7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ht="15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ht="15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ht="15.75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ht="15.75" customHeight="1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ht="15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ht="15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ht="15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ht="15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ht="15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ht="15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ht="15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5.63"/>
    <col customWidth="1" min="3" max="3" width="14.75"/>
    <col customWidth="1" min="4" max="4" width="12.63"/>
    <col customWidth="1" min="5" max="5" width="14.5"/>
    <col customWidth="1" min="6" max="6" width="13.88"/>
    <col customWidth="1" min="7" max="7" width="9.13"/>
    <col customWidth="1" min="8" max="8" width="10.75"/>
    <col customWidth="1" min="10" max="10" width="9.63"/>
    <col customWidth="1" min="11" max="11" width="13.13"/>
    <col customWidth="1" min="12" max="12" width="8.25"/>
    <col customWidth="1" min="14" max="14" width="16.63"/>
  </cols>
  <sheetData>
    <row r="1" ht="15.75" customHeight="1">
      <c r="A1" s="15" t="s">
        <v>0</v>
      </c>
      <c r="B1" s="15" t="s">
        <v>20</v>
      </c>
      <c r="C1" s="15" t="s">
        <v>21</v>
      </c>
      <c r="D1" s="15" t="s">
        <v>22</v>
      </c>
      <c r="E1" s="15" t="s">
        <v>23</v>
      </c>
      <c r="F1" s="15" t="s">
        <v>24</v>
      </c>
      <c r="G1" s="15" t="s">
        <v>25</v>
      </c>
      <c r="H1" s="15" t="s">
        <v>26</v>
      </c>
      <c r="I1" s="15" t="s">
        <v>27</v>
      </c>
      <c r="J1" s="15" t="s">
        <v>28</v>
      </c>
      <c r="K1" s="15" t="s">
        <v>78</v>
      </c>
      <c r="L1" s="15"/>
      <c r="M1" s="15" t="s">
        <v>31</v>
      </c>
      <c r="N1" s="15" t="s">
        <v>79</v>
      </c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2" ht="15.75" customHeight="1">
      <c r="A2" s="14" t="s">
        <v>13</v>
      </c>
      <c r="B2" s="14" t="s">
        <v>32</v>
      </c>
      <c r="C2" s="14">
        <v>3.907448</v>
      </c>
      <c r="D2" s="14">
        <v>2355.341814</v>
      </c>
      <c r="E2" s="14">
        <v>128.233805</v>
      </c>
      <c r="F2" s="14">
        <v>3.985621</v>
      </c>
      <c r="G2" s="14">
        <v>1.344532</v>
      </c>
      <c r="H2" s="14">
        <v>23.805609</v>
      </c>
      <c r="I2" s="14">
        <v>1.0</v>
      </c>
      <c r="J2" s="14">
        <v>0.87564754987021</v>
      </c>
      <c r="K2" s="14">
        <v>1.0</v>
      </c>
      <c r="L2" s="13"/>
      <c r="M2" s="16" t="b">
        <v>1</v>
      </c>
      <c r="N2" s="14">
        <f t="shared" ref="N2:N10" si="1">J2-J20</f>
        <v>0.03191760395</v>
      </c>
    </row>
    <row r="3" ht="15.75" customHeight="1">
      <c r="A3" s="14" t="s">
        <v>13</v>
      </c>
      <c r="B3" s="14" t="s">
        <v>34</v>
      </c>
      <c r="C3" s="14">
        <v>4.520128</v>
      </c>
      <c r="D3" s="14">
        <v>1477.646201</v>
      </c>
      <c r="E3" s="14">
        <v>55.819235</v>
      </c>
      <c r="F3" s="14">
        <v>7.679124</v>
      </c>
      <c r="G3" s="14">
        <v>1.820412</v>
      </c>
      <c r="H3" s="14">
        <v>50.157681</v>
      </c>
      <c r="I3" s="14">
        <v>1.0</v>
      </c>
      <c r="J3" s="14">
        <v>0.945534947447447</v>
      </c>
      <c r="K3" s="14">
        <v>0.743</v>
      </c>
      <c r="L3" s="13"/>
      <c r="M3" s="16" t="b">
        <v>0</v>
      </c>
      <c r="N3" s="14">
        <f t="shared" si="1"/>
        <v>-0.03683573574</v>
      </c>
    </row>
    <row r="4" ht="15.75" customHeight="1">
      <c r="A4" s="14" t="s">
        <v>13</v>
      </c>
      <c r="B4" s="14" t="s">
        <v>35</v>
      </c>
      <c r="C4" s="14">
        <v>98.165608</v>
      </c>
      <c r="D4" s="14">
        <v>122720.686179</v>
      </c>
      <c r="E4" s="14">
        <v>3571.025404</v>
      </c>
      <c r="F4" s="14">
        <v>73.752426</v>
      </c>
      <c r="G4" s="14">
        <v>27.816074</v>
      </c>
      <c r="H4" s="14">
        <v>370.766239</v>
      </c>
      <c r="I4" s="14">
        <v>1.0</v>
      </c>
      <c r="J4" s="14">
        <v>0.896871187828691</v>
      </c>
      <c r="K4" s="14">
        <v>0.987</v>
      </c>
      <c r="L4" s="13"/>
      <c r="M4" s="16" t="b">
        <v>1</v>
      </c>
      <c r="N4" s="14">
        <f t="shared" si="1"/>
        <v>0.01215287832</v>
      </c>
    </row>
    <row r="5" ht="15.75" customHeight="1">
      <c r="A5" s="14" t="s">
        <v>13</v>
      </c>
      <c r="B5" s="14" t="s">
        <v>36</v>
      </c>
      <c r="C5" s="14">
        <v>3.200128</v>
      </c>
      <c r="D5" s="14">
        <v>990.224753</v>
      </c>
      <c r="E5" s="14">
        <v>32.609417</v>
      </c>
      <c r="F5" s="14">
        <v>4.448663</v>
      </c>
      <c r="G5" s="14">
        <v>0.901238</v>
      </c>
      <c r="H5" s="14">
        <v>27.989123</v>
      </c>
      <c r="I5" s="14">
        <v>1.0</v>
      </c>
      <c r="J5" s="14">
        <v>0.910815484787265</v>
      </c>
      <c r="K5" s="14">
        <v>0.747</v>
      </c>
      <c r="L5" s="13"/>
      <c r="M5" s="16" t="b">
        <v>0</v>
      </c>
      <c r="N5" s="14">
        <f t="shared" si="1"/>
        <v>-0.05642300429</v>
      </c>
    </row>
    <row r="6" ht="15.75" customHeight="1">
      <c r="A6" s="14" t="s">
        <v>13</v>
      </c>
      <c r="B6" s="14" t="s">
        <v>38</v>
      </c>
      <c r="C6" s="14">
        <v>0.200128</v>
      </c>
      <c r="D6" s="14">
        <v>151.524931</v>
      </c>
      <c r="E6" s="14">
        <v>16.394644</v>
      </c>
      <c r="F6" s="14">
        <v>5.411272</v>
      </c>
      <c r="G6" s="14">
        <v>0.571992</v>
      </c>
      <c r="H6" s="14">
        <v>19.666427</v>
      </c>
      <c r="I6" s="14">
        <v>1.0</v>
      </c>
      <c r="J6" s="14">
        <v>0.695827963983051</v>
      </c>
      <c r="K6" s="14">
        <v>1.0</v>
      </c>
      <c r="L6" s="13"/>
      <c r="M6" s="16" t="b">
        <v>0</v>
      </c>
      <c r="N6" s="14">
        <f t="shared" si="1"/>
        <v>-0.0548481508</v>
      </c>
    </row>
    <row r="7" ht="15.75" customHeight="1">
      <c r="A7" s="14" t="s">
        <v>13</v>
      </c>
      <c r="B7" s="14" t="s">
        <v>39</v>
      </c>
      <c r="C7" s="14">
        <v>3.340128</v>
      </c>
      <c r="D7" s="14">
        <v>1205.976267</v>
      </c>
      <c r="E7" s="14">
        <v>46.77069</v>
      </c>
      <c r="F7" s="14">
        <v>5.833507</v>
      </c>
      <c r="G7" s="14">
        <v>1.249929</v>
      </c>
      <c r="H7" s="14">
        <v>33.289376</v>
      </c>
      <c r="I7" s="14">
        <v>1.0</v>
      </c>
      <c r="J7" s="14">
        <v>0.907307267665546</v>
      </c>
      <c r="K7" s="14">
        <v>0.925</v>
      </c>
      <c r="L7" s="13"/>
      <c r="M7" s="16" t="b">
        <v>0</v>
      </c>
      <c r="N7" s="14">
        <f t="shared" si="1"/>
        <v>-0.06332453081</v>
      </c>
    </row>
    <row r="8" ht="15.75" customHeight="1">
      <c r="A8" s="14" t="s">
        <v>13</v>
      </c>
      <c r="B8" s="14" t="s">
        <v>40</v>
      </c>
      <c r="C8" s="14">
        <v>162.039016</v>
      </c>
      <c r="D8" s="14">
        <v>83480.085986</v>
      </c>
      <c r="E8" s="14">
        <v>2657.169613</v>
      </c>
      <c r="F8" s="14">
        <v>18.364864</v>
      </c>
      <c r="G8" s="14">
        <v>49.066022</v>
      </c>
      <c r="H8" s="14">
        <v>200.829836</v>
      </c>
      <c r="I8" s="14">
        <v>1.0</v>
      </c>
      <c r="J8" s="14">
        <v>0.78207089124595</v>
      </c>
      <c r="K8" s="14">
        <v>0.99</v>
      </c>
      <c r="L8" s="13"/>
      <c r="M8" s="16" t="b">
        <v>1</v>
      </c>
      <c r="N8" s="14">
        <f t="shared" si="1"/>
        <v>0.09239861227</v>
      </c>
    </row>
    <row r="9" ht="15.75" customHeight="1">
      <c r="A9" s="14" t="s">
        <v>13</v>
      </c>
      <c r="B9" s="14" t="s">
        <v>41</v>
      </c>
      <c r="C9" s="14">
        <v>18.712096</v>
      </c>
      <c r="D9" s="14">
        <v>3588.10577</v>
      </c>
      <c r="E9" s="14">
        <v>272.0678</v>
      </c>
      <c r="F9" s="14">
        <v>3.014752</v>
      </c>
      <c r="G9" s="14">
        <v>3.954237</v>
      </c>
      <c r="H9" s="14">
        <v>97.91671</v>
      </c>
      <c r="I9" s="14">
        <v>1.0</v>
      </c>
      <c r="J9" s="14">
        <v>0.960956152781593</v>
      </c>
      <c r="K9" s="14">
        <v>1.0</v>
      </c>
      <c r="L9" s="13"/>
      <c r="M9" s="16" t="b">
        <v>1</v>
      </c>
      <c r="N9" s="14">
        <f t="shared" si="1"/>
        <v>0.09197450118</v>
      </c>
    </row>
    <row r="10" ht="15.75" customHeight="1">
      <c r="A10" s="14" t="s">
        <v>13</v>
      </c>
      <c r="B10" s="14" t="s">
        <v>37</v>
      </c>
      <c r="C10" s="14">
        <v>255.645408</v>
      </c>
      <c r="D10" s="14">
        <v>95639.515917</v>
      </c>
      <c r="E10" s="14">
        <v>3483.18457</v>
      </c>
      <c r="F10" s="14">
        <v>7.470269</v>
      </c>
      <c r="G10" s="14">
        <v>40.303938</v>
      </c>
      <c r="H10" s="14">
        <v>249.446563999999</v>
      </c>
      <c r="I10" s="14">
        <v>1.0</v>
      </c>
      <c r="J10" s="14">
        <v>0.940413652500584</v>
      </c>
      <c r="K10" s="14">
        <v>1.0</v>
      </c>
      <c r="L10" s="13"/>
      <c r="M10" s="16" t="b">
        <v>1</v>
      </c>
      <c r="N10" s="14">
        <f t="shared" si="1"/>
        <v>0.345413366</v>
      </c>
    </row>
    <row r="11" ht="15.75" customHeight="1">
      <c r="A11" s="14" t="s">
        <v>16</v>
      </c>
      <c r="B11" s="14" t="s">
        <v>32</v>
      </c>
      <c r="C11" s="14">
        <v>3.907448</v>
      </c>
      <c r="D11" s="14">
        <v>2316.830973</v>
      </c>
      <c r="E11" s="14">
        <v>129.142083</v>
      </c>
      <c r="F11" s="14">
        <v>4.039912</v>
      </c>
      <c r="G11" s="14">
        <v>1.668949</v>
      </c>
      <c r="H11" s="14">
        <v>23.64644</v>
      </c>
      <c r="I11" s="14">
        <v>1.0</v>
      </c>
      <c r="J11" s="14">
        <v>0.882942583566043</v>
      </c>
      <c r="K11" s="14">
        <v>0.999</v>
      </c>
      <c r="L11" s="13"/>
      <c r="M11" s="16" t="b">
        <v>1</v>
      </c>
      <c r="N11" s="14">
        <f t="shared" ref="N11:N19" si="2">J11-J20</f>
        <v>0.03921263765</v>
      </c>
    </row>
    <row r="12" ht="15.75" customHeight="1">
      <c r="A12" s="14" t="s">
        <v>16</v>
      </c>
      <c r="B12" s="14" t="s">
        <v>34</v>
      </c>
      <c r="C12" s="14">
        <v>4.520128</v>
      </c>
      <c r="D12" s="14">
        <v>1444.252376</v>
      </c>
      <c r="E12" s="14">
        <v>60.350152</v>
      </c>
      <c r="F12" s="14">
        <v>7.680526</v>
      </c>
      <c r="G12" s="14">
        <v>1.799002</v>
      </c>
      <c r="H12" s="14">
        <v>49.979693</v>
      </c>
      <c r="I12" s="14">
        <v>1.0</v>
      </c>
      <c r="J12" s="14">
        <v>0.934864451951952</v>
      </c>
      <c r="K12" s="14">
        <v>0.748</v>
      </c>
      <c r="L12" s="13"/>
      <c r="M12" s="16" t="b">
        <v>0</v>
      </c>
      <c r="N12" s="14">
        <f t="shared" si="2"/>
        <v>-0.04750623123</v>
      </c>
    </row>
    <row r="13" ht="15.75" customHeight="1">
      <c r="A13" s="14" t="s">
        <v>16</v>
      </c>
      <c r="B13" s="14" t="s">
        <v>35</v>
      </c>
      <c r="C13" s="14">
        <v>98.165608</v>
      </c>
      <c r="D13" s="14">
        <v>121203.269319</v>
      </c>
      <c r="E13" s="14">
        <v>3619.070301</v>
      </c>
      <c r="F13" s="14">
        <v>73.85588</v>
      </c>
      <c r="G13" s="14">
        <v>34.150914</v>
      </c>
      <c r="H13" s="14">
        <v>381.891988</v>
      </c>
      <c r="I13" s="14">
        <v>1.0</v>
      </c>
      <c r="J13" s="14">
        <v>0.898218660824183</v>
      </c>
      <c r="K13" s="14">
        <v>0.929</v>
      </c>
      <c r="L13" s="13"/>
      <c r="M13" s="16" t="b">
        <v>1</v>
      </c>
      <c r="N13" s="14">
        <f t="shared" si="2"/>
        <v>0.01350035132</v>
      </c>
    </row>
    <row r="14" ht="15.75" customHeight="1">
      <c r="A14" s="14" t="s">
        <v>16</v>
      </c>
      <c r="B14" s="14" t="s">
        <v>36</v>
      </c>
      <c r="C14" s="14">
        <v>3.200128</v>
      </c>
      <c r="D14" s="14">
        <v>1006.685816</v>
      </c>
      <c r="E14" s="14">
        <v>35.81715</v>
      </c>
      <c r="F14" s="14">
        <v>4.449593</v>
      </c>
      <c r="G14" s="14">
        <v>0.915417</v>
      </c>
      <c r="H14" s="14">
        <v>27.481722</v>
      </c>
      <c r="I14" s="14">
        <v>1.0</v>
      </c>
      <c r="J14" s="14">
        <v>0.94258654399347</v>
      </c>
      <c r="K14" s="14">
        <v>0.72</v>
      </c>
      <c r="L14" s="13"/>
      <c r="M14" s="16" t="b">
        <v>0</v>
      </c>
      <c r="N14" s="14">
        <f t="shared" si="2"/>
        <v>-0.02465194508</v>
      </c>
    </row>
    <row r="15" ht="15.75" customHeight="1">
      <c r="A15" s="14" t="s">
        <v>16</v>
      </c>
      <c r="B15" s="14" t="s">
        <v>38</v>
      </c>
      <c r="C15" s="14">
        <v>0.200128</v>
      </c>
      <c r="D15" s="14">
        <v>154.216914</v>
      </c>
      <c r="E15" s="14">
        <v>16.655981</v>
      </c>
      <c r="F15" s="14">
        <v>5.436968</v>
      </c>
      <c r="G15" s="14">
        <v>0.689636</v>
      </c>
      <c r="H15" s="14">
        <v>19.642262</v>
      </c>
      <c r="I15" s="14">
        <v>1.0</v>
      </c>
      <c r="J15" s="14">
        <v>0.617301773140513</v>
      </c>
      <c r="K15" s="14">
        <v>1.0</v>
      </c>
      <c r="L15" s="13"/>
      <c r="M15" s="16" t="b">
        <v>0</v>
      </c>
      <c r="N15" s="14">
        <f t="shared" si="2"/>
        <v>-0.1333743416</v>
      </c>
    </row>
    <row r="16" ht="15.75" customHeight="1">
      <c r="A16" s="14" t="s">
        <v>16</v>
      </c>
      <c r="B16" s="14" t="s">
        <v>39</v>
      </c>
      <c r="C16" s="14">
        <v>3.340128</v>
      </c>
      <c r="D16" s="14">
        <v>1211.412384</v>
      </c>
      <c r="E16" s="14">
        <v>50.130718</v>
      </c>
      <c r="F16" s="14">
        <v>5.834635</v>
      </c>
      <c r="G16" s="14">
        <v>1.281742</v>
      </c>
      <c r="H16" s="14">
        <v>33.706106</v>
      </c>
      <c r="I16" s="14">
        <v>1.0</v>
      </c>
      <c r="J16" s="14">
        <v>0.904043013364592</v>
      </c>
      <c r="K16" s="14">
        <v>0.913</v>
      </c>
      <c r="L16" s="13"/>
      <c r="M16" s="16" t="b">
        <v>0</v>
      </c>
      <c r="N16" s="14">
        <f t="shared" si="2"/>
        <v>-0.06658878511</v>
      </c>
    </row>
    <row r="17" ht="15.75" customHeight="1">
      <c r="A17" s="14" t="s">
        <v>16</v>
      </c>
      <c r="B17" s="14" t="s">
        <v>40</v>
      </c>
      <c r="C17" s="14">
        <v>162.039016</v>
      </c>
      <c r="D17" s="13"/>
      <c r="E17" s="13"/>
      <c r="F17" s="13"/>
      <c r="G17" s="13"/>
      <c r="H17" s="13"/>
      <c r="J17" s="13"/>
      <c r="K17" s="13"/>
      <c r="L17" s="13"/>
      <c r="M17" s="16" t="b">
        <v>0</v>
      </c>
      <c r="N17" s="14">
        <f t="shared" si="2"/>
        <v>-0.689672279</v>
      </c>
    </row>
    <row r="18" ht="15.75" customHeight="1">
      <c r="A18" s="14" t="s">
        <v>16</v>
      </c>
      <c r="B18" s="14" t="s">
        <v>41</v>
      </c>
      <c r="C18" s="14">
        <v>18.712096</v>
      </c>
      <c r="D18" s="14">
        <v>4124.777619</v>
      </c>
      <c r="E18" s="14">
        <v>783.294464</v>
      </c>
      <c r="F18" s="14">
        <v>3.748499</v>
      </c>
      <c r="G18" s="14">
        <v>8.333504</v>
      </c>
      <c r="H18" s="14">
        <v>98.558179</v>
      </c>
      <c r="I18" s="14">
        <v>1.0</v>
      </c>
      <c r="J18" s="14">
        <v>0.916316925125851</v>
      </c>
      <c r="K18" s="14">
        <v>1.0</v>
      </c>
      <c r="L18" s="13"/>
      <c r="M18" s="16" t="b">
        <v>1</v>
      </c>
      <c r="N18" s="14">
        <f t="shared" si="2"/>
        <v>0.04733527353</v>
      </c>
    </row>
    <row r="19" ht="15.75" customHeight="1">
      <c r="A19" s="14" t="s">
        <v>16</v>
      </c>
      <c r="B19" s="14" t="s">
        <v>37</v>
      </c>
      <c r="C19" s="14">
        <v>255.645408</v>
      </c>
      <c r="D19" s="14">
        <v>98415.998216</v>
      </c>
      <c r="E19" s="14">
        <v>3739.346298</v>
      </c>
      <c r="F19" s="14">
        <v>8.068218</v>
      </c>
      <c r="G19" s="14">
        <v>138.995806</v>
      </c>
      <c r="H19" s="14">
        <v>231.599969</v>
      </c>
      <c r="I19" s="14">
        <v>1.0</v>
      </c>
      <c r="J19" s="14">
        <v>0.675340757192076</v>
      </c>
      <c r="K19" s="14">
        <v>1.0</v>
      </c>
      <c r="L19" s="13"/>
      <c r="M19" s="16" t="b">
        <v>1</v>
      </c>
      <c r="N19" s="14">
        <f t="shared" si="2"/>
        <v>0.08034047068</v>
      </c>
    </row>
    <row r="20" ht="15.75" customHeight="1">
      <c r="A20" s="14" t="s">
        <v>33</v>
      </c>
      <c r="B20" s="14" t="s">
        <v>32</v>
      </c>
      <c r="C20" s="14">
        <v>3.907448</v>
      </c>
      <c r="D20" s="14">
        <v>18.255097</v>
      </c>
      <c r="E20" s="14">
        <v>41.051578</v>
      </c>
      <c r="F20" s="14">
        <v>0.257915</v>
      </c>
      <c r="G20" s="14">
        <v>1.104571</v>
      </c>
      <c r="H20" s="14">
        <v>23.925633</v>
      </c>
      <c r="I20" s="14">
        <v>1.0</v>
      </c>
      <c r="J20" s="14">
        <v>0.843729945916818</v>
      </c>
      <c r="K20" s="14">
        <v>1.0</v>
      </c>
      <c r="L20" s="13"/>
      <c r="M20" s="16" t="b">
        <v>0</v>
      </c>
      <c r="N20" s="14">
        <f t="shared" ref="N20:N28" si="3">J20-J20</f>
        <v>0</v>
      </c>
    </row>
    <row r="21" ht="15.75" customHeight="1">
      <c r="A21" s="14" t="s">
        <v>33</v>
      </c>
      <c r="B21" s="14" t="s">
        <v>34</v>
      </c>
      <c r="C21" s="14">
        <v>4.520128</v>
      </c>
      <c r="D21" s="14">
        <v>39.650732</v>
      </c>
      <c r="E21" s="14">
        <v>61.461535</v>
      </c>
      <c r="F21" s="14">
        <v>0.502276</v>
      </c>
      <c r="G21" s="14">
        <v>1.891127</v>
      </c>
      <c r="H21" s="14">
        <v>50.801114</v>
      </c>
      <c r="I21" s="14">
        <v>1.0</v>
      </c>
      <c r="J21" s="14">
        <v>0.982370683183183</v>
      </c>
      <c r="K21" s="14">
        <v>0.963</v>
      </c>
      <c r="L21" s="13"/>
      <c r="M21" s="16" t="b">
        <v>0</v>
      </c>
      <c r="N21" s="14">
        <f t="shared" si="3"/>
        <v>0</v>
      </c>
    </row>
    <row r="22" ht="15.75" customHeight="1">
      <c r="A22" s="14" t="s">
        <v>33</v>
      </c>
      <c r="B22" s="14" t="s">
        <v>35</v>
      </c>
      <c r="C22" s="14">
        <v>98.165608</v>
      </c>
      <c r="D22" s="14">
        <v>387.044993</v>
      </c>
      <c r="E22" s="14">
        <v>1009.312714</v>
      </c>
      <c r="F22" s="14">
        <v>0.584281</v>
      </c>
      <c r="G22" s="14">
        <v>24.652047</v>
      </c>
      <c r="H22" s="14">
        <v>377.886681</v>
      </c>
      <c r="I22" s="14">
        <v>1.0</v>
      </c>
      <c r="J22" s="14">
        <v>0.884718309503795</v>
      </c>
      <c r="K22" s="14">
        <v>1.0</v>
      </c>
      <c r="L22" s="13"/>
      <c r="M22" s="16" t="b">
        <v>0</v>
      </c>
      <c r="N22" s="14">
        <f t="shared" si="3"/>
        <v>0</v>
      </c>
    </row>
    <row r="23" ht="15.75" customHeight="1">
      <c r="A23" s="14" t="s">
        <v>33</v>
      </c>
      <c r="B23" s="14" t="s">
        <v>36</v>
      </c>
      <c r="C23" s="14">
        <v>3.200128</v>
      </c>
      <c r="D23" s="14">
        <v>18.017161</v>
      </c>
      <c r="E23" s="14">
        <v>33.340769</v>
      </c>
      <c r="F23" s="14">
        <v>0.307089</v>
      </c>
      <c r="G23" s="14">
        <v>0.978572</v>
      </c>
      <c r="H23" s="14">
        <v>27.842173</v>
      </c>
      <c r="I23" s="14">
        <v>1.0</v>
      </c>
      <c r="J23" s="14">
        <v>0.967238489074611</v>
      </c>
      <c r="K23" s="14">
        <v>0.99</v>
      </c>
      <c r="L23" s="13"/>
      <c r="M23" s="16" t="b">
        <v>0</v>
      </c>
      <c r="N23" s="14">
        <f t="shared" si="3"/>
        <v>0</v>
      </c>
    </row>
    <row r="24" ht="15.75" customHeight="1">
      <c r="A24" s="14" t="s">
        <v>33</v>
      </c>
      <c r="B24" s="14" t="s">
        <v>38</v>
      </c>
      <c r="C24" s="14">
        <v>0.200128</v>
      </c>
      <c r="D24" s="14">
        <v>10.72221</v>
      </c>
      <c r="E24" s="14">
        <v>3.124127</v>
      </c>
      <c r="F24" s="14">
        <v>0.431732</v>
      </c>
      <c r="G24" s="14">
        <v>0.500148</v>
      </c>
      <c r="H24" s="14">
        <v>20.37904</v>
      </c>
      <c r="I24" s="14">
        <v>1.0</v>
      </c>
      <c r="J24" s="14">
        <v>0.750676114779521</v>
      </c>
      <c r="K24" s="14">
        <v>1.0</v>
      </c>
      <c r="L24" s="13"/>
      <c r="M24" s="16" t="b">
        <v>0</v>
      </c>
      <c r="N24" s="14">
        <f t="shared" si="3"/>
        <v>0</v>
      </c>
    </row>
    <row r="25" ht="15.75" customHeight="1">
      <c r="A25" s="14" t="s">
        <v>33</v>
      </c>
      <c r="B25" s="14" t="s">
        <v>39</v>
      </c>
      <c r="C25" s="14">
        <v>3.340128</v>
      </c>
      <c r="D25" s="14">
        <v>29.669475</v>
      </c>
      <c r="E25" s="14">
        <v>44.932563</v>
      </c>
      <c r="F25" s="14">
        <v>0.388111</v>
      </c>
      <c r="G25" s="14">
        <v>1.318457</v>
      </c>
      <c r="H25" s="14">
        <v>34.492749</v>
      </c>
      <c r="I25" s="14">
        <v>1.0</v>
      </c>
      <c r="J25" s="14">
        <v>0.970631798477057</v>
      </c>
      <c r="K25" s="14">
        <v>0.995</v>
      </c>
      <c r="L25" s="13"/>
      <c r="M25" s="16" t="b">
        <v>0</v>
      </c>
      <c r="N25" s="14">
        <f t="shared" si="3"/>
        <v>0</v>
      </c>
    </row>
    <row r="26" ht="15.75" customHeight="1">
      <c r="A26" s="14" t="s">
        <v>33</v>
      </c>
      <c r="B26" s="14" t="s">
        <v>40</v>
      </c>
      <c r="C26" s="14">
        <v>162.039016</v>
      </c>
      <c r="D26" s="14">
        <v>295.900924</v>
      </c>
      <c r="E26" s="14">
        <v>1665.494875</v>
      </c>
      <c r="F26" s="14">
        <v>0.560744</v>
      </c>
      <c r="G26" s="14">
        <v>39.197353</v>
      </c>
      <c r="H26" s="14">
        <v>212.777894</v>
      </c>
      <c r="I26" s="14">
        <v>1.0</v>
      </c>
      <c r="J26" s="14">
        <v>0.689672278977853</v>
      </c>
      <c r="K26" s="14">
        <v>1.0</v>
      </c>
      <c r="L26" s="13"/>
      <c r="M26" s="16" t="b">
        <v>0</v>
      </c>
      <c r="N26" s="14">
        <f t="shared" si="3"/>
        <v>0</v>
      </c>
    </row>
    <row r="27" ht="15.75" customHeight="1">
      <c r="A27" s="14" t="s">
        <v>33</v>
      </c>
      <c r="B27" s="14" t="s">
        <v>41</v>
      </c>
      <c r="C27" s="14">
        <v>18.712096</v>
      </c>
      <c r="D27" s="14">
        <v>49.460679</v>
      </c>
      <c r="E27" s="14">
        <v>192.975112</v>
      </c>
      <c r="F27" s="14">
        <v>0.774347</v>
      </c>
      <c r="G27" s="14">
        <v>4.911805</v>
      </c>
      <c r="H27" s="14">
        <v>100.464501</v>
      </c>
      <c r="I27" s="14">
        <v>1.0</v>
      </c>
      <c r="J27" s="14">
        <v>0.868981651600652</v>
      </c>
      <c r="K27" s="14">
        <v>1.0</v>
      </c>
      <c r="L27" s="13"/>
      <c r="M27" s="16" t="b">
        <v>0</v>
      </c>
      <c r="N27" s="14">
        <f t="shared" si="3"/>
        <v>0</v>
      </c>
    </row>
    <row r="28" ht="15.75" customHeight="1">
      <c r="A28" s="14" t="s">
        <v>33</v>
      </c>
      <c r="B28" s="14" t="s">
        <v>37</v>
      </c>
      <c r="C28" s="14">
        <v>255.645408</v>
      </c>
      <c r="D28" s="14">
        <v>408.799452</v>
      </c>
      <c r="E28" s="14">
        <v>2625.831058</v>
      </c>
      <c r="F28" s="14">
        <v>0.724619</v>
      </c>
      <c r="G28" s="14">
        <v>76.198323</v>
      </c>
      <c r="H28" s="14">
        <v>236.835612</v>
      </c>
      <c r="I28" s="14">
        <v>1.0</v>
      </c>
      <c r="J28" s="14">
        <v>0.595000286514589</v>
      </c>
      <c r="K28" s="14">
        <v>1.0</v>
      </c>
      <c r="L28" s="13"/>
      <c r="M28" s="16" t="b">
        <v>0</v>
      </c>
      <c r="N28" s="14">
        <f t="shared" si="3"/>
        <v>0</v>
      </c>
    </row>
    <row r="29" ht="15.75" customHeight="1">
      <c r="A29" s="14" t="s">
        <v>18</v>
      </c>
      <c r="B29" s="14" t="s">
        <v>32</v>
      </c>
      <c r="C29" s="14">
        <v>3.907448</v>
      </c>
      <c r="D29" s="14">
        <v>1013.035894</v>
      </c>
      <c r="E29" s="14">
        <v>128.261213</v>
      </c>
      <c r="F29" s="14">
        <v>1.09605</v>
      </c>
      <c r="G29" s="14">
        <v>0.930011</v>
      </c>
      <c r="H29" s="14">
        <v>24.060517</v>
      </c>
      <c r="I29" s="14">
        <v>1.0</v>
      </c>
      <c r="J29" s="14">
        <v>0.880603655903653</v>
      </c>
      <c r="K29" s="14">
        <v>1.0</v>
      </c>
      <c r="L29" s="13"/>
      <c r="M29" s="16" t="b">
        <v>1</v>
      </c>
      <c r="N29" s="14">
        <f t="shared" ref="N29:N37" si="4">J29-J20</f>
        <v>0.03687370999</v>
      </c>
    </row>
    <row r="30" ht="15.75" customHeight="1">
      <c r="A30" s="14" t="s">
        <v>18</v>
      </c>
      <c r="B30" s="14" t="s">
        <v>34</v>
      </c>
      <c r="C30" s="14">
        <v>4.520128</v>
      </c>
      <c r="D30" s="14">
        <v>448.036096</v>
      </c>
      <c r="E30" s="14">
        <v>55.827436</v>
      </c>
      <c r="F30" s="14">
        <v>1.153246</v>
      </c>
      <c r="G30" s="14">
        <v>1.398382</v>
      </c>
      <c r="H30" s="14">
        <v>51.299638</v>
      </c>
      <c r="I30" s="14">
        <v>1.0</v>
      </c>
      <c r="J30" s="14">
        <v>0.975105743243243</v>
      </c>
      <c r="K30" s="14">
        <v>0.538</v>
      </c>
      <c r="L30" s="13"/>
      <c r="M30" s="16" t="b">
        <v>0</v>
      </c>
      <c r="N30" s="14">
        <f t="shared" si="4"/>
        <v>-0.00726493994</v>
      </c>
    </row>
    <row r="31" ht="15.75" customHeight="1">
      <c r="A31" s="14" t="s">
        <v>18</v>
      </c>
      <c r="B31" s="14" t="s">
        <v>35</v>
      </c>
      <c r="C31" s="14">
        <v>98.165608</v>
      </c>
      <c r="D31" s="14">
        <v>28900.029219</v>
      </c>
      <c r="E31" s="14">
        <v>3571.010794</v>
      </c>
      <c r="F31" s="14">
        <v>5.617566</v>
      </c>
      <c r="G31" s="14">
        <v>17.173492</v>
      </c>
      <c r="H31" s="14">
        <v>383.387679</v>
      </c>
      <c r="I31" s="14">
        <v>1.0</v>
      </c>
      <c r="J31" s="14">
        <v>0.919981128168006</v>
      </c>
      <c r="K31" s="14">
        <v>0.915</v>
      </c>
      <c r="L31" s="13"/>
      <c r="M31" s="16" t="b">
        <v>1</v>
      </c>
      <c r="N31" s="14">
        <f t="shared" si="4"/>
        <v>0.03526281866</v>
      </c>
    </row>
    <row r="32" ht="15.75" customHeight="1">
      <c r="A32" s="14" t="s">
        <v>18</v>
      </c>
      <c r="B32" s="14" t="s">
        <v>36</v>
      </c>
      <c r="C32" s="14">
        <v>3.200128</v>
      </c>
      <c r="D32" s="14">
        <v>439.045477</v>
      </c>
      <c r="E32" s="14">
        <v>32.616939</v>
      </c>
      <c r="F32" s="14">
        <v>0.8589</v>
      </c>
      <c r="G32" s="14">
        <v>0.710746</v>
      </c>
      <c r="H32" s="14">
        <v>28.524116</v>
      </c>
      <c r="I32" s="14">
        <v>1.0</v>
      </c>
      <c r="J32" s="14">
        <v>0.960285224803488</v>
      </c>
      <c r="K32" s="14">
        <v>0.698</v>
      </c>
      <c r="L32" s="13"/>
      <c r="M32" s="16" t="b">
        <v>0</v>
      </c>
      <c r="N32" s="14">
        <f t="shared" si="4"/>
        <v>-0.006953264271</v>
      </c>
    </row>
    <row r="33" ht="15.75" customHeight="1">
      <c r="A33" s="14" t="s">
        <v>18</v>
      </c>
      <c r="B33" s="14" t="s">
        <v>38</v>
      </c>
      <c r="C33" s="14">
        <v>0.200128</v>
      </c>
      <c r="D33" s="14">
        <v>37.697139</v>
      </c>
      <c r="E33" s="14">
        <v>16.002588</v>
      </c>
      <c r="F33" s="14">
        <v>1.085935</v>
      </c>
      <c r="G33" s="14">
        <v>0.551394</v>
      </c>
      <c r="H33" s="14">
        <v>20.704307</v>
      </c>
      <c r="I33" s="14">
        <v>1.0</v>
      </c>
      <c r="J33" s="14">
        <v>0.688754453950659</v>
      </c>
      <c r="K33" s="14">
        <v>0.934</v>
      </c>
      <c r="L33" s="13"/>
      <c r="M33" s="16" t="b">
        <v>0</v>
      </c>
      <c r="N33" s="14">
        <f t="shared" si="4"/>
        <v>-0.06192166083</v>
      </c>
    </row>
    <row r="34" ht="15.75" customHeight="1">
      <c r="A34" s="14" t="s">
        <v>18</v>
      </c>
      <c r="B34" s="14" t="s">
        <v>39</v>
      </c>
      <c r="C34" s="14">
        <v>3.340128</v>
      </c>
      <c r="D34" s="14">
        <v>473.958887</v>
      </c>
      <c r="E34" s="14">
        <v>46.772096</v>
      </c>
      <c r="F34" s="14">
        <v>0.986416</v>
      </c>
      <c r="G34" s="14">
        <v>0.974416</v>
      </c>
      <c r="H34" s="14">
        <v>34.469204</v>
      </c>
      <c r="I34" s="14">
        <v>1.0</v>
      </c>
      <c r="J34" s="14">
        <v>0.937179737012149</v>
      </c>
      <c r="K34" s="14">
        <v>0.931</v>
      </c>
      <c r="L34" s="13"/>
      <c r="M34" s="16" t="b">
        <v>0</v>
      </c>
      <c r="N34" s="14">
        <f t="shared" si="4"/>
        <v>-0.03345206146</v>
      </c>
    </row>
    <row r="35" ht="15.75" customHeight="1">
      <c r="A35" s="14" t="s">
        <v>18</v>
      </c>
      <c r="B35" s="14" t="s">
        <v>40</v>
      </c>
      <c r="C35" s="14">
        <v>162.039016</v>
      </c>
      <c r="D35" s="14">
        <v>32878.957874</v>
      </c>
      <c r="E35" s="14">
        <v>2657.183613</v>
      </c>
      <c r="F35" s="14">
        <v>8.581994</v>
      </c>
      <c r="G35" s="14">
        <v>39.987042</v>
      </c>
      <c r="H35" s="14">
        <v>212.102911</v>
      </c>
      <c r="I35" s="14">
        <v>1.0</v>
      </c>
      <c r="J35" s="14">
        <v>0.862353555715324</v>
      </c>
      <c r="K35" s="14">
        <v>0.962</v>
      </c>
      <c r="L35" s="13"/>
      <c r="M35" s="16" t="b">
        <v>1</v>
      </c>
      <c r="N35" s="14">
        <f t="shared" si="4"/>
        <v>0.1726812767</v>
      </c>
    </row>
    <row r="36" ht="15.75" customHeight="1">
      <c r="A36" s="14" t="s">
        <v>18</v>
      </c>
      <c r="B36" s="14" t="s">
        <v>41</v>
      </c>
      <c r="C36" s="14">
        <v>18.712096</v>
      </c>
      <c r="D36" s="14">
        <v>2861.255397</v>
      </c>
      <c r="E36" s="14">
        <v>272.074857</v>
      </c>
      <c r="F36" s="14">
        <v>2.637012</v>
      </c>
      <c r="G36" s="14">
        <v>3.285098</v>
      </c>
      <c r="H36" s="14">
        <v>95.000342</v>
      </c>
      <c r="I36" s="14">
        <v>1.0</v>
      </c>
      <c r="J36" s="14">
        <v>0.930907878501943</v>
      </c>
      <c r="K36" s="14">
        <v>1.0</v>
      </c>
      <c r="L36" s="13"/>
      <c r="M36" s="16" t="b">
        <v>1</v>
      </c>
      <c r="N36" s="14">
        <f t="shared" si="4"/>
        <v>0.0619262269</v>
      </c>
    </row>
    <row r="37" ht="15.75" customHeight="1">
      <c r="A37" s="14" t="s">
        <v>18</v>
      </c>
      <c r="B37" s="14" t="s">
        <v>37</v>
      </c>
      <c r="C37" s="14">
        <v>255.645408</v>
      </c>
      <c r="D37" s="14">
        <v>51243.910593</v>
      </c>
      <c r="E37" s="14">
        <v>3483.185356</v>
      </c>
      <c r="F37" s="14">
        <v>10.288243</v>
      </c>
      <c r="G37" s="14">
        <v>25.276177</v>
      </c>
      <c r="H37" s="14">
        <v>260.333825</v>
      </c>
      <c r="I37" s="14">
        <v>1.0</v>
      </c>
      <c r="J37" s="14">
        <v>0.959982754081278</v>
      </c>
      <c r="K37" s="14">
        <v>1.0</v>
      </c>
      <c r="L37" s="13"/>
      <c r="M37" s="16" t="b">
        <v>1</v>
      </c>
      <c r="N37" s="14">
        <f t="shared" si="4"/>
        <v>0.3649824676</v>
      </c>
    </row>
    <row r="38" ht="15.75" customHeight="1">
      <c r="A38" s="13"/>
      <c r="B38" s="13"/>
      <c r="C38" s="13"/>
      <c r="D38" s="13"/>
      <c r="E38" s="13"/>
      <c r="F38" s="13"/>
      <c r="G38" s="13"/>
      <c r="H38" s="13"/>
      <c r="J38" s="13"/>
      <c r="K38" s="13"/>
      <c r="L38" s="13"/>
      <c r="N38" s="13"/>
    </row>
    <row r="39" ht="15.75" customHeight="1">
      <c r="A39" s="13"/>
      <c r="B39" s="13"/>
      <c r="C39" s="13"/>
      <c r="D39" s="13"/>
      <c r="E39" s="13"/>
      <c r="F39" s="13"/>
      <c r="G39" s="13"/>
      <c r="H39" s="13"/>
      <c r="J39" s="13"/>
      <c r="K39" s="13"/>
      <c r="L39" s="13"/>
      <c r="N39" s="13"/>
    </row>
    <row r="40" ht="15.75" customHeight="1">
      <c r="A40" s="13"/>
      <c r="B40" s="13"/>
      <c r="C40" s="13"/>
      <c r="D40" s="13"/>
      <c r="E40" s="13"/>
      <c r="F40" s="13"/>
      <c r="G40" s="13"/>
      <c r="H40" s="13"/>
      <c r="J40" s="13"/>
      <c r="K40" s="13"/>
      <c r="L40" s="13"/>
      <c r="N40" s="13"/>
    </row>
    <row r="41" ht="15.75" customHeight="1">
      <c r="A41" s="13"/>
      <c r="B41" s="13"/>
      <c r="C41" s="13"/>
      <c r="D41" s="13"/>
      <c r="E41" s="13"/>
      <c r="F41" s="13"/>
      <c r="G41" s="13"/>
      <c r="H41" s="13"/>
      <c r="J41" s="13"/>
      <c r="K41" s="13"/>
      <c r="L41" s="13"/>
      <c r="N41" s="13"/>
    </row>
    <row r="42" ht="15.75" customHeight="1">
      <c r="A42" s="13"/>
      <c r="B42" s="13"/>
      <c r="C42" s="13"/>
      <c r="D42" s="13"/>
      <c r="E42" s="13"/>
      <c r="F42" s="13"/>
      <c r="G42" s="13"/>
      <c r="H42" s="13"/>
      <c r="J42" s="13"/>
      <c r="K42" s="13"/>
      <c r="L42" s="13"/>
      <c r="N42" s="13"/>
    </row>
    <row r="43" ht="15.75" customHeight="1">
      <c r="A43" s="13"/>
      <c r="B43" s="13"/>
      <c r="C43" s="13"/>
      <c r="D43" s="13"/>
      <c r="E43" s="13"/>
      <c r="F43" s="13"/>
      <c r="G43" s="13"/>
      <c r="H43" s="13"/>
      <c r="J43" s="13"/>
      <c r="K43" s="13"/>
      <c r="L43" s="13"/>
      <c r="N43" s="13"/>
    </row>
    <row r="44" ht="15.75" customHeight="1">
      <c r="A44" s="13"/>
      <c r="B44" s="13"/>
      <c r="C44" s="13"/>
      <c r="D44" s="13"/>
      <c r="E44" s="13"/>
      <c r="F44" s="13"/>
      <c r="G44" s="13"/>
      <c r="H44" s="13"/>
      <c r="J44" s="13"/>
      <c r="K44" s="13"/>
      <c r="L44" s="13"/>
      <c r="N44" s="13"/>
    </row>
    <row r="45" ht="15.75" customHeight="1">
      <c r="A45" s="13"/>
      <c r="B45" s="13"/>
      <c r="C45" s="13"/>
      <c r="D45" s="13"/>
      <c r="E45" s="13"/>
      <c r="F45" s="13"/>
      <c r="G45" s="13"/>
      <c r="H45" s="13"/>
      <c r="J45" s="13"/>
      <c r="K45" s="13"/>
      <c r="L45" s="13"/>
      <c r="N45" s="13"/>
    </row>
    <row r="46" ht="15.75" customHeight="1">
      <c r="A46" s="13"/>
      <c r="B46" s="13"/>
      <c r="C46" s="13"/>
      <c r="D46" s="13"/>
      <c r="E46" s="13"/>
      <c r="F46" s="13"/>
      <c r="G46" s="13"/>
      <c r="H46" s="13"/>
      <c r="J46" s="13"/>
      <c r="K46" s="13"/>
      <c r="L46" s="13"/>
      <c r="N46" s="13"/>
    </row>
    <row r="47" ht="15.75" customHeight="1">
      <c r="A47" s="13"/>
      <c r="B47" s="13"/>
      <c r="C47" s="13"/>
      <c r="D47" s="13"/>
      <c r="E47" s="13"/>
      <c r="F47" s="13"/>
      <c r="G47" s="13"/>
      <c r="H47" s="13"/>
      <c r="J47" s="13"/>
      <c r="K47" s="13"/>
      <c r="L47" s="13"/>
      <c r="N47" s="13"/>
    </row>
    <row r="48" ht="15.75" customHeight="1">
      <c r="A48" s="13"/>
      <c r="B48" s="13"/>
      <c r="C48" s="13"/>
      <c r="D48" s="13"/>
      <c r="E48" s="13"/>
      <c r="F48" s="13"/>
      <c r="G48" s="13"/>
      <c r="H48" s="13"/>
      <c r="J48" s="13"/>
      <c r="K48" s="13"/>
      <c r="L48" s="13"/>
      <c r="N48" s="13"/>
    </row>
    <row r="49" ht="15.75" customHeight="1">
      <c r="A49" s="13"/>
      <c r="B49" s="13"/>
      <c r="C49" s="13"/>
      <c r="D49" s="13"/>
      <c r="E49" s="13"/>
      <c r="F49" s="13"/>
      <c r="G49" s="13"/>
      <c r="H49" s="13"/>
      <c r="J49" s="13"/>
      <c r="K49" s="13"/>
      <c r="L49" s="13"/>
      <c r="N49" s="13"/>
    </row>
    <row r="50" ht="15.75" customHeight="1">
      <c r="A50" s="13"/>
      <c r="B50" s="13"/>
      <c r="C50" s="13"/>
      <c r="D50" s="13"/>
      <c r="E50" s="13"/>
      <c r="F50" s="13"/>
      <c r="G50" s="13"/>
      <c r="H50" s="13"/>
      <c r="J50" s="13"/>
      <c r="K50" s="13"/>
      <c r="L50" s="13"/>
      <c r="N50" s="13"/>
    </row>
    <row r="51" ht="15.75" customHeight="1">
      <c r="A51" s="13"/>
      <c r="B51" s="13"/>
      <c r="C51" s="13"/>
      <c r="D51" s="13"/>
      <c r="E51" s="13"/>
      <c r="F51" s="13"/>
      <c r="G51" s="13"/>
      <c r="H51" s="13"/>
      <c r="J51" s="13"/>
      <c r="K51" s="13"/>
      <c r="L51" s="13"/>
      <c r="N51" s="13"/>
    </row>
    <row r="52" ht="15.75" customHeight="1">
      <c r="A52" s="13"/>
      <c r="B52" s="13"/>
      <c r="C52" s="13"/>
      <c r="D52" s="13"/>
      <c r="E52" s="13"/>
      <c r="F52" s="13"/>
      <c r="G52" s="13"/>
      <c r="H52" s="13"/>
      <c r="J52" s="13"/>
      <c r="K52" s="13"/>
      <c r="L52" s="13"/>
      <c r="N52" s="13"/>
    </row>
    <row r="53" ht="15.75" customHeight="1">
      <c r="A53" s="13"/>
      <c r="B53" s="13"/>
      <c r="C53" s="13"/>
      <c r="D53" s="13"/>
      <c r="E53" s="13"/>
      <c r="F53" s="13"/>
      <c r="G53" s="13"/>
      <c r="H53" s="13"/>
      <c r="J53" s="13"/>
      <c r="K53" s="13"/>
      <c r="L53" s="13"/>
      <c r="N53" s="13"/>
    </row>
    <row r="54" ht="15.75" customHeight="1">
      <c r="A54" s="13"/>
      <c r="B54" s="13"/>
      <c r="C54" s="13"/>
      <c r="D54" s="13"/>
      <c r="E54" s="13"/>
      <c r="F54" s="13"/>
      <c r="G54" s="13"/>
      <c r="H54" s="13"/>
      <c r="J54" s="13"/>
      <c r="K54" s="13"/>
      <c r="L54" s="13"/>
      <c r="N54" s="13"/>
    </row>
    <row r="55" ht="15.75" customHeight="1">
      <c r="A55" s="13"/>
      <c r="B55" s="13"/>
      <c r="C55" s="13"/>
      <c r="D55" s="13"/>
      <c r="E55" s="13"/>
      <c r="F55" s="13"/>
      <c r="G55" s="13"/>
      <c r="H55" s="13"/>
      <c r="J55" s="13"/>
      <c r="K55" s="13"/>
      <c r="L55" s="13"/>
      <c r="N55" s="13"/>
    </row>
    <row r="56" ht="15.75" customHeight="1">
      <c r="A56" s="13"/>
      <c r="B56" s="13"/>
      <c r="C56" s="13"/>
      <c r="D56" s="13"/>
      <c r="E56" s="13"/>
      <c r="F56" s="13"/>
      <c r="G56" s="13"/>
      <c r="H56" s="13"/>
      <c r="J56" s="13"/>
      <c r="K56" s="13"/>
      <c r="L56" s="13"/>
      <c r="N56" s="13"/>
    </row>
    <row r="57" ht="15.75" customHeight="1">
      <c r="A57" s="13"/>
      <c r="B57" s="13"/>
      <c r="C57" s="13"/>
      <c r="D57" s="13"/>
      <c r="E57" s="13"/>
      <c r="F57" s="13"/>
      <c r="G57" s="13"/>
      <c r="H57" s="13"/>
      <c r="J57" s="13"/>
      <c r="K57" s="13"/>
      <c r="L57" s="13"/>
      <c r="N57" s="13"/>
    </row>
    <row r="58" ht="15.75" customHeight="1">
      <c r="A58" s="13"/>
      <c r="B58" s="13"/>
      <c r="C58" s="13"/>
      <c r="D58" s="13"/>
      <c r="E58" s="13"/>
      <c r="F58" s="13"/>
      <c r="G58" s="13"/>
      <c r="H58" s="13"/>
      <c r="J58" s="13"/>
      <c r="K58" s="13"/>
      <c r="L58" s="13"/>
      <c r="N58" s="13"/>
    </row>
    <row r="59" ht="15.75" customHeight="1">
      <c r="A59" s="13"/>
      <c r="B59" s="13"/>
      <c r="C59" s="13"/>
      <c r="D59" s="13"/>
      <c r="E59" s="13"/>
      <c r="F59" s="13"/>
      <c r="G59" s="13"/>
      <c r="H59" s="13"/>
      <c r="J59" s="13"/>
      <c r="K59" s="13"/>
      <c r="L59" s="13"/>
      <c r="N59" s="13"/>
    </row>
    <row r="60" ht="15.75" customHeight="1">
      <c r="A60" s="13"/>
      <c r="B60" s="13"/>
      <c r="C60" s="13"/>
      <c r="D60" s="13"/>
      <c r="E60" s="13"/>
      <c r="F60" s="13"/>
      <c r="G60" s="13"/>
      <c r="H60" s="13"/>
      <c r="J60" s="13"/>
      <c r="K60" s="13"/>
      <c r="L60" s="13"/>
      <c r="N60" s="13"/>
    </row>
    <row r="61" ht="15.75" customHeight="1">
      <c r="A61" s="13"/>
      <c r="B61" s="13"/>
      <c r="C61" s="13"/>
      <c r="D61" s="13"/>
      <c r="E61" s="13"/>
      <c r="F61" s="13"/>
      <c r="G61" s="13"/>
      <c r="H61" s="13"/>
      <c r="J61" s="13"/>
      <c r="K61" s="13"/>
      <c r="L61" s="13"/>
      <c r="N61" s="13"/>
    </row>
    <row r="62" ht="15.75" customHeight="1">
      <c r="A62" s="13"/>
      <c r="B62" s="13"/>
      <c r="C62" s="13"/>
      <c r="D62" s="13"/>
      <c r="E62" s="13"/>
      <c r="F62" s="13"/>
      <c r="G62" s="13"/>
      <c r="H62" s="13"/>
      <c r="J62" s="13"/>
      <c r="K62" s="13"/>
      <c r="L62" s="13"/>
      <c r="N62" s="13"/>
    </row>
    <row r="63" ht="15.75" customHeight="1">
      <c r="A63" s="13"/>
      <c r="B63" s="13"/>
      <c r="C63" s="13"/>
      <c r="D63" s="13"/>
      <c r="E63" s="13"/>
      <c r="F63" s="13"/>
      <c r="G63" s="13"/>
      <c r="H63" s="13"/>
      <c r="J63" s="13"/>
      <c r="K63" s="13"/>
      <c r="L63" s="13"/>
      <c r="N63" s="13"/>
    </row>
    <row r="64" ht="15.75" customHeight="1">
      <c r="A64" s="13"/>
      <c r="B64" s="13"/>
      <c r="C64" s="13"/>
      <c r="D64" s="13"/>
      <c r="E64" s="13"/>
      <c r="F64" s="13"/>
      <c r="G64" s="13"/>
      <c r="H64" s="13"/>
      <c r="J64" s="13"/>
      <c r="K64" s="13"/>
      <c r="L64" s="13"/>
      <c r="N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J65" s="13"/>
      <c r="K65" s="13"/>
      <c r="L65" s="13"/>
      <c r="N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J66" s="13"/>
      <c r="K66" s="13"/>
      <c r="L66" s="13"/>
      <c r="N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J67" s="13"/>
      <c r="K67" s="13"/>
      <c r="L67" s="13"/>
      <c r="N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J68" s="13"/>
      <c r="K68" s="13"/>
      <c r="L68" s="13"/>
      <c r="N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J69" s="13"/>
      <c r="K69" s="13"/>
      <c r="L69" s="13"/>
      <c r="N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J70" s="13"/>
      <c r="K70" s="13"/>
      <c r="L70" s="13"/>
      <c r="N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J71" s="13"/>
      <c r="K71" s="13"/>
      <c r="L71" s="13"/>
      <c r="N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J72" s="13"/>
      <c r="K72" s="13"/>
      <c r="L72" s="13"/>
      <c r="N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J73" s="13"/>
      <c r="K73" s="13"/>
      <c r="L73" s="13"/>
      <c r="N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J74" s="13"/>
      <c r="K74" s="13"/>
      <c r="L74" s="13"/>
      <c r="N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J75" s="13"/>
      <c r="K75" s="13"/>
      <c r="L75" s="13"/>
      <c r="N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J76" s="13"/>
      <c r="K76" s="13"/>
      <c r="L76" s="13"/>
      <c r="N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J77" s="13"/>
      <c r="K77" s="13"/>
      <c r="L77" s="13"/>
      <c r="N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J78" s="13"/>
      <c r="K78" s="13"/>
      <c r="L78" s="13"/>
      <c r="N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J79" s="13"/>
      <c r="K79" s="13"/>
      <c r="L79" s="13"/>
      <c r="N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J80" s="13"/>
      <c r="K80" s="13"/>
      <c r="L80" s="13"/>
      <c r="N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J81" s="13"/>
      <c r="K81" s="13"/>
      <c r="L81" s="13"/>
      <c r="N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J82" s="13"/>
      <c r="K82" s="13"/>
      <c r="L82" s="13"/>
      <c r="N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J83" s="13"/>
      <c r="K83" s="13"/>
      <c r="L83" s="13"/>
      <c r="N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J84" s="13"/>
      <c r="K84" s="13"/>
      <c r="L84" s="13"/>
      <c r="N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J85" s="13"/>
      <c r="K85" s="13"/>
      <c r="L85" s="13"/>
      <c r="N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J86" s="13"/>
      <c r="K86" s="13"/>
      <c r="L86" s="13"/>
      <c r="N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J87" s="13"/>
      <c r="K87" s="13"/>
      <c r="L87" s="13"/>
      <c r="N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J88" s="13"/>
      <c r="K88" s="13"/>
      <c r="L88" s="13"/>
      <c r="N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J89" s="13"/>
      <c r="K89" s="13"/>
      <c r="L89" s="13"/>
      <c r="N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J90" s="13"/>
      <c r="K90" s="13"/>
      <c r="L90" s="13"/>
      <c r="N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J91" s="13"/>
      <c r="K91" s="13"/>
      <c r="L91" s="13"/>
      <c r="N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J92" s="13"/>
      <c r="K92" s="13"/>
      <c r="L92" s="13"/>
      <c r="N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J93" s="13"/>
      <c r="K93" s="13"/>
      <c r="L93" s="13"/>
      <c r="N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J94" s="13"/>
      <c r="K94" s="13"/>
      <c r="L94" s="13"/>
      <c r="N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J95" s="13"/>
      <c r="K95" s="13"/>
      <c r="L95" s="13"/>
      <c r="N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J96" s="13"/>
      <c r="K96" s="13"/>
      <c r="L96" s="13"/>
      <c r="N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J97" s="13"/>
      <c r="K97" s="13"/>
      <c r="L97" s="13"/>
      <c r="N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J98" s="13"/>
      <c r="K98" s="13"/>
      <c r="L98" s="13"/>
      <c r="N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J99" s="13"/>
      <c r="K99" s="13"/>
      <c r="L99" s="13"/>
      <c r="N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J100" s="13"/>
      <c r="K100" s="13"/>
      <c r="L100" s="13"/>
      <c r="N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J101" s="13"/>
      <c r="K101" s="13"/>
      <c r="L101" s="13"/>
      <c r="N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J102" s="13"/>
      <c r="K102" s="13"/>
      <c r="L102" s="13"/>
      <c r="N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J103" s="13"/>
      <c r="K103" s="13"/>
      <c r="L103" s="13"/>
      <c r="N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J104" s="13"/>
      <c r="K104" s="13"/>
      <c r="L104" s="13"/>
      <c r="N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J105" s="13"/>
      <c r="K105" s="13"/>
      <c r="L105" s="13"/>
      <c r="N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J106" s="13"/>
      <c r="K106" s="13"/>
      <c r="L106" s="13"/>
      <c r="N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J107" s="13"/>
      <c r="K107" s="13"/>
      <c r="L107" s="13"/>
      <c r="N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J108" s="13"/>
      <c r="K108" s="13"/>
      <c r="L108" s="13"/>
      <c r="N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J109" s="13"/>
      <c r="K109" s="13"/>
      <c r="L109" s="13"/>
      <c r="N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J110" s="13"/>
      <c r="K110" s="13"/>
      <c r="L110" s="13"/>
      <c r="N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J111" s="13"/>
      <c r="K111" s="13"/>
      <c r="L111" s="13"/>
      <c r="N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J112" s="13"/>
      <c r="K112" s="13"/>
      <c r="L112" s="13"/>
      <c r="N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J113" s="13"/>
      <c r="K113" s="13"/>
      <c r="L113" s="13"/>
      <c r="N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J114" s="13"/>
      <c r="K114" s="13"/>
      <c r="L114" s="13"/>
      <c r="N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J115" s="13"/>
      <c r="K115" s="13"/>
      <c r="L115" s="13"/>
      <c r="N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J116" s="13"/>
      <c r="K116" s="13"/>
      <c r="L116" s="13"/>
      <c r="N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J117" s="13"/>
      <c r="K117" s="13"/>
      <c r="L117" s="13"/>
      <c r="N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J118" s="13"/>
      <c r="K118" s="13"/>
      <c r="L118" s="13"/>
      <c r="N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J119" s="13"/>
      <c r="K119" s="13"/>
      <c r="L119" s="13"/>
      <c r="N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J120" s="13"/>
      <c r="K120" s="13"/>
      <c r="L120" s="13"/>
      <c r="N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J121" s="13"/>
      <c r="K121" s="13"/>
      <c r="L121" s="13"/>
      <c r="N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J122" s="13"/>
      <c r="K122" s="13"/>
      <c r="L122" s="13"/>
      <c r="N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J123" s="13"/>
      <c r="K123" s="13"/>
      <c r="L123" s="13"/>
      <c r="N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J124" s="13"/>
      <c r="K124" s="13"/>
      <c r="L124" s="13"/>
      <c r="N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J125" s="13"/>
      <c r="K125" s="13"/>
      <c r="L125" s="13"/>
      <c r="N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J126" s="13"/>
      <c r="K126" s="13"/>
      <c r="L126" s="13"/>
      <c r="N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J127" s="13"/>
      <c r="K127" s="13"/>
      <c r="L127" s="13"/>
      <c r="N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J128" s="13"/>
      <c r="K128" s="13"/>
      <c r="L128" s="13"/>
      <c r="N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J129" s="13"/>
      <c r="K129" s="13"/>
      <c r="L129" s="13"/>
      <c r="N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J130" s="13"/>
      <c r="K130" s="13"/>
      <c r="L130" s="13"/>
      <c r="N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J131" s="13"/>
      <c r="K131" s="13"/>
      <c r="L131" s="13"/>
      <c r="N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J132" s="13"/>
      <c r="K132" s="13"/>
      <c r="L132" s="13"/>
      <c r="N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J133" s="13"/>
      <c r="K133" s="13"/>
      <c r="L133" s="13"/>
      <c r="N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J134" s="13"/>
      <c r="K134" s="13"/>
      <c r="L134" s="13"/>
      <c r="N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J135" s="13"/>
      <c r="K135" s="13"/>
      <c r="L135" s="13"/>
      <c r="N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J136" s="13"/>
      <c r="K136" s="13"/>
      <c r="L136" s="13"/>
      <c r="N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J137" s="13"/>
      <c r="K137" s="13"/>
      <c r="L137" s="13"/>
      <c r="N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J138" s="13"/>
      <c r="K138" s="13"/>
      <c r="L138" s="13"/>
      <c r="N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J139" s="13"/>
      <c r="K139" s="13"/>
      <c r="L139" s="13"/>
      <c r="N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J140" s="13"/>
      <c r="K140" s="13"/>
      <c r="L140" s="13"/>
      <c r="N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J141" s="13"/>
      <c r="K141" s="13"/>
      <c r="L141" s="13"/>
      <c r="N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J142" s="13"/>
      <c r="K142" s="13"/>
      <c r="L142" s="13"/>
      <c r="N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J143" s="13"/>
      <c r="K143" s="13"/>
      <c r="L143" s="13"/>
      <c r="N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J144" s="13"/>
      <c r="K144" s="13"/>
      <c r="L144" s="13"/>
      <c r="N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J145" s="13"/>
      <c r="K145" s="13"/>
      <c r="L145" s="13"/>
      <c r="N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J146" s="13"/>
      <c r="K146" s="13"/>
      <c r="L146" s="13"/>
      <c r="N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J147" s="13"/>
      <c r="K147" s="13"/>
      <c r="L147" s="13"/>
      <c r="N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J148" s="13"/>
      <c r="K148" s="13"/>
      <c r="L148" s="13"/>
      <c r="N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J149" s="13"/>
      <c r="K149" s="13"/>
      <c r="L149" s="13"/>
      <c r="N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J150" s="13"/>
      <c r="K150" s="13"/>
      <c r="L150" s="13"/>
      <c r="N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J151" s="13"/>
      <c r="K151" s="13"/>
      <c r="L151" s="13"/>
      <c r="N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J152" s="13"/>
      <c r="K152" s="13"/>
      <c r="L152" s="13"/>
      <c r="N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J153" s="13"/>
      <c r="K153" s="13"/>
      <c r="L153" s="13"/>
      <c r="N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J154" s="13"/>
      <c r="K154" s="13"/>
      <c r="L154" s="13"/>
      <c r="N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J155" s="13"/>
      <c r="K155" s="13"/>
      <c r="L155" s="13"/>
      <c r="N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J156" s="13"/>
      <c r="K156" s="13"/>
      <c r="L156" s="13"/>
      <c r="N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J157" s="13"/>
      <c r="K157" s="13"/>
      <c r="L157" s="13"/>
      <c r="N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J158" s="13"/>
      <c r="K158" s="13"/>
      <c r="L158" s="13"/>
      <c r="N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J159" s="13"/>
      <c r="K159" s="13"/>
      <c r="L159" s="13"/>
      <c r="N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J160" s="13"/>
      <c r="K160" s="13"/>
      <c r="L160" s="13"/>
      <c r="N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J161" s="13"/>
      <c r="K161" s="13"/>
      <c r="L161" s="13"/>
      <c r="N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J162" s="13"/>
      <c r="K162" s="13"/>
      <c r="L162" s="13"/>
      <c r="N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J163" s="13"/>
      <c r="K163" s="13"/>
      <c r="L163" s="13"/>
      <c r="N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J164" s="13"/>
      <c r="K164" s="13"/>
      <c r="L164" s="13"/>
      <c r="N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J165" s="13"/>
      <c r="K165" s="13"/>
      <c r="L165" s="13"/>
      <c r="N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J166" s="13"/>
      <c r="K166" s="13"/>
      <c r="L166" s="13"/>
      <c r="N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J167" s="13"/>
      <c r="K167" s="13"/>
      <c r="L167" s="13"/>
      <c r="N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J168" s="13"/>
      <c r="K168" s="13"/>
      <c r="L168" s="13"/>
      <c r="N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J169" s="13"/>
      <c r="K169" s="13"/>
      <c r="L169" s="13"/>
      <c r="N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J170" s="13"/>
      <c r="K170" s="13"/>
      <c r="L170" s="13"/>
      <c r="N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J171" s="13"/>
      <c r="K171" s="13"/>
      <c r="L171" s="13"/>
      <c r="N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J172" s="13"/>
      <c r="K172" s="13"/>
      <c r="L172" s="13"/>
      <c r="N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J173" s="13"/>
      <c r="K173" s="13"/>
      <c r="L173" s="13"/>
      <c r="N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J174" s="13"/>
      <c r="K174" s="13"/>
      <c r="L174" s="13"/>
      <c r="N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J175" s="13"/>
      <c r="K175" s="13"/>
      <c r="L175" s="13"/>
      <c r="N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J176" s="13"/>
      <c r="K176" s="13"/>
      <c r="L176" s="13"/>
      <c r="N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J177" s="13"/>
      <c r="K177" s="13"/>
      <c r="L177" s="13"/>
      <c r="N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J178" s="13"/>
      <c r="K178" s="13"/>
      <c r="L178" s="13"/>
      <c r="N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J179" s="13"/>
      <c r="K179" s="13"/>
      <c r="L179" s="13"/>
      <c r="N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J180" s="13"/>
      <c r="K180" s="13"/>
      <c r="L180" s="13"/>
      <c r="N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J181" s="13"/>
      <c r="K181" s="13"/>
      <c r="L181" s="13"/>
      <c r="N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J182" s="13"/>
      <c r="K182" s="13"/>
      <c r="L182" s="13"/>
      <c r="N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J183" s="13"/>
      <c r="K183" s="13"/>
      <c r="L183" s="13"/>
      <c r="N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J184" s="13"/>
      <c r="K184" s="13"/>
      <c r="L184" s="13"/>
      <c r="N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J185" s="13"/>
      <c r="K185" s="13"/>
      <c r="L185" s="13"/>
      <c r="N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J186" s="13"/>
      <c r="K186" s="13"/>
      <c r="L186" s="13"/>
      <c r="N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J187" s="13"/>
      <c r="K187" s="13"/>
      <c r="L187" s="13"/>
      <c r="N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J188" s="13"/>
      <c r="K188" s="13"/>
      <c r="L188" s="13"/>
      <c r="N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J189" s="13"/>
      <c r="K189" s="13"/>
      <c r="L189" s="13"/>
      <c r="N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J190" s="13"/>
      <c r="K190" s="13"/>
      <c r="L190" s="13"/>
      <c r="N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J191" s="13"/>
      <c r="K191" s="13"/>
      <c r="L191" s="13"/>
      <c r="N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J192" s="13"/>
      <c r="K192" s="13"/>
      <c r="L192" s="13"/>
      <c r="N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J193" s="13"/>
      <c r="K193" s="13"/>
      <c r="L193" s="13"/>
      <c r="N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J194" s="13"/>
      <c r="K194" s="13"/>
      <c r="L194" s="13"/>
      <c r="N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J195" s="13"/>
      <c r="K195" s="13"/>
      <c r="L195" s="13"/>
      <c r="N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J196" s="13"/>
      <c r="K196" s="13"/>
      <c r="L196" s="13"/>
      <c r="N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J197" s="13"/>
      <c r="K197" s="13"/>
      <c r="L197" s="13"/>
      <c r="N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J198" s="13"/>
      <c r="K198" s="13"/>
      <c r="L198" s="13"/>
      <c r="N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J199" s="13"/>
      <c r="K199" s="13"/>
      <c r="L199" s="13"/>
      <c r="N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J200" s="13"/>
      <c r="K200" s="13"/>
      <c r="L200" s="13"/>
      <c r="N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J201" s="13"/>
      <c r="K201" s="13"/>
      <c r="L201" s="13"/>
      <c r="N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J202" s="13"/>
      <c r="K202" s="13"/>
      <c r="L202" s="13"/>
      <c r="N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J203" s="13"/>
      <c r="K203" s="13"/>
      <c r="L203" s="13"/>
      <c r="N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J204" s="13"/>
      <c r="K204" s="13"/>
      <c r="L204" s="13"/>
      <c r="N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J205" s="13"/>
      <c r="K205" s="13"/>
      <c r="L205" s="13"/>
      <c r="N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J206" s="13"/>
      <c r="K206" s="13"/>
      <c r="L206" s="13"/>
      <c r="N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J207" s="13"/>
      <c r="K207" s="13"/>
      <c r="L207" s="13"/>
      <c r="N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J208" s="13"/>
      <c r="K208" s="13"/>
      <c r="L208" s="13"/>
      <c r="N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J209" s="13"/>
      <c r="K209" s="13"/>
      <c r="L209" s="13"/>
      <c r="N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J210" s="13"/>
      <c r="K210" s="13"/>
      <c r="L210" s="13"/>
      <c r="N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J211" s="13"/>
      <c r="K211" s="13"/>
      <c r="L211" s="13"/>
      <c r="N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J212" s="13"/>
      <c r="K212" s="13"/>
      <c r="L212" s="13"/>
      <c r="N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J213" s="13"/>
      <c r="K213" s="13"/>
      <c r="L213" s="13"/>
      <c r="N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J214" s="13"/>
      <c r="K214" s="13"/>
      <c r="L214" s="13"/>
      <c r="N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J215" s="13"/>
      <c r="K215" s="13"/>
      <c r="L215" s="13"/>
      <c r="N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J216" s="13"/>
      <c r="K216" s="13"/>
      <c r="L216" s="13"/>
      <c r="N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J217" s="13"/>
      <c r="K217" s="13"/>
      <c r="L217" s="13"/>
      <c r="N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J218" s="13"/>
      <c r="K218" s="13"/>
      <c r="L218" s="13"/>
      <c r="N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J219" s="13"/>
      <c r="K219" s="13"/>
      <c r="L219" s="13"/>
      <c r="N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J220" s="13"/>
      <c r="K220" s="13"/>
      <c r="L220" s="13"/>
      <c r="N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J221" s="13"/>
      <c r="K221" s="13"/>
      <c r="L221" s="13"/>
      <c r="N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J222" s="13"/>
      <c r="K222" s="13"/>
      <c r="L222" s="13"/>
      <c r="N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J223" s="13"/>
      <c r="K223" s="13"/>
      <c r="L223" s="13"/>
      <c r="N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J224" s="13"/>
      <c r="K224" s="13"/>
      <c r="L224" s="13"/>
      <c r="N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J225" s="13"/>
      <c r="K225" s="13"/>
      <c r="L225" s="13"/>
      <c r="N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J226" s="13"/>
      <c r="K226" s="13"/>
      <c r="L226" s="13"/>
      <c r="N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J227" s="13"/>
      <c r="K227" s="13"/>
      <c r="L227" s="13"/>
      <c r="N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J228" s="13"/>
      <c r="K228" s="13"/>
      <c r="L228" s="13"/>
      <c r="N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J229" s="13"/>
      <c r="K229" s="13"/>
      <c r="L229" s="13"/>
      <c r="N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J230" s="13"/>
      <c r="K230" s="13"/>
      <c r="L230" s="13"/>
      <c r="N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J231" s="13"/>
      <c r="K231" s="13"/>
      <c r="L231" s="13"/>
      <c r="N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J232" s="13"/>
      <c r="K232" s="13"/>
      <c r="L232" s="13"/>
      <c r="N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J233" s="13"/>
      <c r="K233" s="13"/>
      <c r="L233" s="13"/>
      <c r="N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J234" s="13"/>
      <c r="K234" s="13"/>
      <c r="L234" s="13"/>
      <c r="N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J235" s="13"/>
      <c r="K235" s="13"/>
      <c r="L235" s="13"/>
      <c r="N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J236" s="13"/>
      <c r="K236" s="13"/>
      <c r="L236" s="13"/>
      <c r="N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J237" s="13"/>
      <c r="K237" s="13"/>
      <c r="L237" s="13"/>
      <c r="N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J238" s="13"/>
      <c r="K238" s="13"/>
      <c r="L238" s="13"/>
      <c r="N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J239" s="13"/>
      <c r="K239" s="13"/>
      <c r="L239" s="13"/>
      <c r="N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J240" s="13"/>
      <c r="K240" s="13"/>
      <c r="L240" s="13"/>
      <c r="N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J241" s="13"/>
      <c r="K241" s="13"/>
      <c r="L241" s="13"/>
      <c r="N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J242" s="13"/>
      <c r="K242" s="13"/>
      <c r="L242" s="13"/>
      <c r="N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J243" s="13"/>
      <c r="K243" s="13"/>
      <c r="L243" s="13"/>
      <c r="N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J244" s="13"/>
      <c r="K244" s="13"/>
      <c r="L244" s="13"/>
      <c r="N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J245" s="13"/>
      <c r="K245" s="13"/>
      <c r="L245" s="13"/>
      <c r="N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J246" s="13"/>
      <c r="K246" s="13"/>
      <c r="L246" s="13"/>
      <c r="N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J247" s="13"/>
      <c r="K247" s="13"/>
      <c r="L247" s="13"/>
      <c r="N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J248" s="13"/>
      <c r="K248" s="13"/>
      <c r="L248" s="13"/>
      <c r="N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J249" s="13"/>
      <c r="K249" s="13"/>
      <c r="L249" s="13"/>
      <c r="N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J250" s="13"/>
      <c r="K250" s="13"/>
      <c r="L250" s="13"/>
      <c r="N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J251" s="13"/>
      <c r="K251" s="13"/>
      <c r="L251" s="13"/>
      <c r="N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J252" s="13"/>
      <c r="K252" s="13"/>
      <c r="L252" s="13"/>
      <c r="N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J253" s="13"/>
      <c r="K253" s="13"/>
      <c r="L253" s="13"/>
      <c r="N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J254" s="13"/>
      <c r="K254" s="13"/>
      <c r="L254" s="13"/>
      <c r="N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J255" s="13"/>
      <c r="K255" s="13"/>
      <c r="L255" s="13"/>
      <c r="N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J256" s="13"/>
      <c r="K256" s="13"/>
      <c r="L256" s="13"/>
      <c r="N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J257" s="13"/>
      <c r="K257" s="13"/>
      <c r="L257" s="13"/>
      <c r="N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J258" s="13"/>
      <c r="K258" s="13"/>
      <c r="L258" s="13"/>
      <c r="N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J259" s="13"/>
      <c r="K259" s="13"/>
      <c r="L259" s="13"/>
      <c r="N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J260" s="13"/>
      <c r="K260" s="13"/>
      <c r="L260" s="13"/>
      <c r="N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J261" s="13"/>
      <c r="K261" s="13"/>
      <c r="L261" s="13"/>
      <c r="N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J262" s="13"/>
      <c r="K262" s="13"/>
      <c r="L262" s="13"/>
      <c r="N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J263" s="13"/>
      <c r="K263" s="13"/>
      <c r="L263" s="13"/>
      <c r="N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J264" s="13"/>
      <c r="K264" s="13"/>
      <c r="L264" s="13"/>
      <c r="N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J265" s="13"/>
      <c r="K265" s="13"/>
      <c r="L265" s="13"/>
      <c r="N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J266" s="13"/>
      <c r="K266" s="13"/>
      <c r="L266" s="13"/>
      <c r="N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J267" s="13"/>
      <c r="K267" s="13"/>
      <c r="L267" s="13"/>
      <c r="N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J268" s="13"/>
      <c r="K268" s="13"/>
      <c r="L268" s="13"/>
      <c r="N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J269" s="13"/>
      <c r="K269" s="13"/>
      <c r="L269" s="13"/>
      <c r="N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J270" s="13"/>
      <c r="K270" s="13"/>
      <c r="L270" s="13"/>
      <c r="N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J271" s="13"/>
      <c r="K271" s="13"/>
      <c r="L271" s="13"/>
      <c r="N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J272" s="13"/>
      <c r="K272" s="13"/>
      <c r="L272" s="13"/>
      <c r="N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J273" s="13"/>
      <c r="K273" s="13"/>
      <c r="L273" s="13"/>
      <c r="N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J274" s="13"/>
      <c r="K274" s="13"/>
      <c r="L274" s="13"/>
      <c r="N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J275" s="13"/>
      <c r="K275" s="13"/>
      <c r="L275" s="13"/>
      <c r="N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J276" s="13"/>
      <c r="K276" s="13"/>
      <c r="L276" s="13"/>
      <c r="N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J277" s="13"/>
      <c r="K277" s="13"/>
      <c r="L277" s="13"/>
      <c r="N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J278" s="13"/>
      <c r="K278" s="13"/>
      <c r="L278" s="13"/>
      <c r="N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J279" s="13"/>
      <c r="K279" s="13"/>
      <c r="L279" s="13"/>
      <c r="N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J280" s="13"/>
      <c r="K280" s="13"/>
      <c r="L280" s="13"/>
      <c r="N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J281" s="13"/>
      <c r="K281" s="13"/>
      <c r="L281" s="13"/>
      <c r="N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J282" s="13"/>
      <c r="K282" s="13"/>
      <c r="L282" s="13"/>
      <c r="N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J283" s="13"/>
      <c r="K283" s="13"/>
      <c r="L283" s="13"/>
      <c r="N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J284" s="13"/>
      <c r="K284" s="13"/>
      <c r="L284" s="13"/>
      <c r="N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J285" s="13"/>
      <c r="K285" s="13"/>
      <c r="L285" s="13"/>
      <c r="N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J286" s="13"/>
      <c r="K286" s="13"/>
      <c r="L286" s="13"/>
      <c r="N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J287" s="13"/>
      <c r="K287" s="13"/>
      <c r="L287" s="13"/>
      <c r="N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J288" s="13"/>
      <c r="K288" s="13"/>
      <c r="L288" s="13"/>
      <c r="N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J289" s="13"/>
      <c r="K289" s="13"/>
      <c r="L289" s="13"/>
      <c r="N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J290" s="13"/>
      <c r="K290" s="13"/>
      <c r="L290" s="13"/>
      <c r="N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J291" s="13"/>
      <c r="K291" s="13"/>
      <c r="L291" s="13"/>
      <c r="N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J292" s="13"/>
      <c r="K292" s="13"/>
      <c r="L292" s="13"/>
      <c r="N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J293" s="13"/>
      <c r="K293" s="13"/>
      <c r="L293" s="13"/>
      <c r="N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J294" s="13"/>
      <c r="K294" s="13"/>
      <c r="L294" s="13"/>
      <c r="N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J295" s="13"/>
      <c r="K295" s="13"/>
      <c r="L295" s="13"/>
      <c r="N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J296" s="13"/>
      <c r="K296" s="13"/>
      <c r="L296" s="13"/>
      <c r="N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J297" s="13"/>
      <c r="K297" s="13"/>
      <c r="L297" s="13"/>
      <c r="N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J298" s="13"/>
      <c r="K298" s="13"/>
      <c r="L298" s="13"/>
      <c r="N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J299" s="13"/>
      <c r="K299" s="13"/>
      <c r="L299" s="13"/>
      <c r="N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J300" s="13"/>
      <c r="K300" s="13"/>
      <c r="L300" s="13"/>
      <c r="N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J301" s="13"/>
      <c r="K301" s="13"/>
      <c r="L301" s="13"/>
      <c r="N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J302" s="13"/>
      <c r="K302" s="13"/>
      <c r="L302" s="13"/>
      <c r="N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J303" s="13"/>
      <c r="K303" s="13"/>
      <c r="L303" s="13"/>
      <c r="N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J304" s="13"/>
      <c r="K304" s="13"/>
      <c r="L304" s="13"/>
      <c r="N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J305" s="13"/>
      <c r="K305" s="13"/>
      <c r="L305" s="13"/>
      <c r="N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J306" s="13"/>
      <c r="K306" s="13"/>
      <c r="L306" s="13"/>
      <c r="N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J307" s="13"/>
      <c r="K307" s="13"/>
      <c r="L307" s="13"/>
      <c r="N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J308" s="13"/>
      <c r="K308" s="13"/>
      <c r="L308" s="13"/>
      <c r="N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J309" s="13"/>
      <c r="K309" s="13"/>
      <c r="L309" s="13"/>
      <c r="N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J310" s="13"/>
      <c r="K310" s="13"/>
      <c r="L310" s="13"/>
      <c r="N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J311" s="13"/>
      <c r="K311" s="13"/>
      <c r="L311" s="13"/>
      <c r="N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J312" s="13"/>
      <c r="K312" s="13"/>
      <c r="L312" s="13"/>
      <c r="N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J313" s="13"/>
      <c r="K313" s="13"/>
      <c r="L313" s="13"/>
      <c r="N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J314" s="13"/>
      <c r="K314" s="13"/>
      <c r="L314" s="13"/>
      <c r="N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J315" s="13"/>
      <c r="K315" s="13"/>
      <c r="L315" s="13"/>
      <c r="N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J316" s="13"/>
      <c r="K316" s="13"/>
      <c r="L316" s="13"/>
      <c r="N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J317" s="13"/>
      <c r="K317" s="13"/>
      <c r="L317" s="13"/>
      <c r="N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J318" s="13"/>
      <c r="K318" s="13"/>
      <c r="L318" s="13"/>
      <c r="N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J319" s="13"/>
      <c r="K319" s="13"/>
      <c r="L319" s="13"/>
      <c r="N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J320" s="13"/>
      <c r="K320" s="13"/>
      <c r="L320" s="13"/>
      <c r="N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J321" s="13"/>
      <c r="K321" s="13"/>
      <c r="L321" s="13"/>
      <c r="N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J322" s="13"/>
      <c r="K322" s="13"/>
      <c r="L322" s="13"/>
      <c r="N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J323" s="13"/>
      <c r="K323" s="13"/>
      <c r="L323" s="13"/>
      <c r="N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J324" s="13"/>
      <c r="K324" s="13"/>
      <c r="L324" s="13"/>
      <c r="N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J325" s="13"/>
      <c r="K325" s="13"/>
      <c r="L325" s="13"/>
      <c r="N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J326" s="13"/>
      <c r="K326" s="13"/>
      <c r="L326" s="13"/>
      <c r="N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J327" s="13"/>
      <c r="K327" s="13"/>
      <c r="L327" s="13"/>
      <c r="N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J328" s="13"/>
      <c r="K328" s="13"/>
      <c r="L328" s="13"/>
      <c r="N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J329" s="13"/>
      <c r="K329" s="13"/>
      <c r="L329" s="13"/>
      <c r="N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J330" s="13"/>
      <c r="K330" s="13"/>
      <c r="L330" s="13"/>
      <c r="N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J331" s="13"/>
      <c r="K331" s="13"/>
      <c r="L331" s="13"/>
      <c r="N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J332" s="13"/>
      <c r="K332" s="13"/>
      <c r="L332" s="13"/>
      <c r="N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J333" s="13"/>
      <c r="K333" s="13"/>
      <c r="L333" s="13"/>
      <c r="N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J334" s="13"/>
      <c r="K334" s="13"/>
      <c r="L334" s="13"/>
      <c r="N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J335" s="13"/>
      <c r="K335" s="13"/>
      <c r="L335" s="13"/>
      <c r="N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J336" s="13"/>
      <c r="K336" s="13"/>
      <c r="L336" s="13"/>
      <c r="N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J337" s="13"/>
      <c r="K337" s="13"/>
      <c r="L337" s="13"/>
      <c r="N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J338" s="13"/>
      <c r="K338" s="13"/>
      <c r="L338" s="13"/>
      <c r="N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J339" s="13"/>
      <c r="K339" s="13"/>
      <c r="L339" s="13"/>
      <c r="N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J340" s="13"/>
      <c r="K340" s="13"/>
      <c r="L340" s="13"/>
      <c r="N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J341" s="13"/>
      <c r="K341" s="13"/>
      <c r="L341" s="13"/>
      <c r="N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J342" s="13"/>
      <c r="K342" s="13"/>
      <c r="L342" s="13"/>
      <c r="N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J343" s="13"/>
      <c r="K343" s="13"/>
      <c r="L343" s="13"/>
      <c r="N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J344" s="13"/>
      <c r="K344" s="13"/>
      <c r="L344" s="13"/>
      <c r="N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J345" s="13"/>
      <c r="K345" s="13"/>
      <c r="L345" s="13"/>
      <c r="N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J346" s="13"/>
      <c r="K346" s="13"/>
      <c r="L346" s="13"/>
      <c r="N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J347" s="13"/>
      <c r="K347" s="13"/>
      <c r="L347" s="13"/>
      <c r="N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J348" s="13"/>
      <c r="K348" s="13"/>
      <c r="L348" s="13"/>
      <c r="N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J349" s="13"/>
      <c r="K349" s="13"/>
      <c r="L349" s="13"/>
      <c r="N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J350" s="13"/>
      <c r="K350" s="13"/>
      <c r="L350" s="13"/>
      <c r="N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J351" s="13"/>
      <c r="K351" s="13"/>
      <c r="L351" s="13"/>
      <c r="N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J352" s="13"/>
      <c r="K352" s="13"/>
      <c r="L352" s="13"/>
      <c r="N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J353" s="13"/>
      <c r="K353" s="13"/>
      <c r="L353" s="13"/>
      <c r="N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J354" s="13"/>
      <c r="K354" s="13"/>
      <c r="L354" s="13"/>
      <c r="N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J355" s="13"/>
      <c r="K355" s="13"/>
      <c r="L355" s="13"/>
      <c r="N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J356" s="13"/>
      <c r="K356" s="13"/>
      <c r="L356" s="13"/>
      <c r="N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J357" s="13"/>
      <c r="K357" s="13"/>
      <c r="L357" s="13"/>
      <c r="N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J358" s="13"/>
      <c r="K358" s="13"/>
      <c r="L358" s="13"/>
      <c r="N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J359" s="13"/>
      <c r="K359" s="13"/>
      <c r="L359" s="13"/>
      <c r="N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J360" s="13"/>
      <c r="K360" s="13"/>
      <c r="L360" s="13"/>
      <c r="N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J361" s="13"/>
      <c r="K361" s="13"/>
      <c r="L361" s="13"/>
      <c r="N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J362" s="13"/>
      <c r="K362" s="13"/>
      <c r="L362" s="13"/>
      <c r="N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J363" s="13"/>
      <c r="K363" s="13"/>
      <c r="L363" s="13"/>
      <c r="N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J364" s="13"/>
      <c r="K364" s="13"/>
      <c r="L364" s="13"/>
      <c r="N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J365" s="13"/>
      <c r="K365" s="13"/>
      <c r="L365" s="13"/>
      <c r="N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J366" s="13"/>
      <c r="K366" s="13"/>
      <c r="L366" s="13"/>
      <c r="N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J367" s="13"/>
      <c r="K367" s="13"/>
      <c r="L367" s="13"/>
      <c r="N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J368" s="13"/>
      <c r="K368" s="13"/>
      <c r="L368" s="13"/>
      <c r="N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J369" s="13"/>
      <c r="K369" s="13"/>
      <c r="L369" s="13"/>
      <c r="N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J370" s="13"/>
      <c r="K370" s="13"/>
      <c r="L370" s="13"/>
      <c r="N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J371" s="13"/>
      <c r="K371" s="13"/>
      <c r="L371" s="13"/>
      <c r="N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J372" s="13"/>
      <c r="K372" s="13"/>
      <c r="L372" s="13"/>
      <c r="N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J373" s="13"/>
      <c r="K373" s="13"/>
      <c r="L373" s="13"/>
      <c r="N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J374" s="13"/>
      <c r="K374" s="13"/>
      <c r="L374" s="13"/>
      <c r="N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J375" s="13"/>
      <c r="K375" s="13"/>
      <c r="L375" s="13"/>
      <c r="N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J376" s="13"/>
      <c r="K376" s="13"/>
      <c r="L376" s="13"/>
      <c r="N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J377" s="13"/>
      <c r="K377" s="13"/>
      <c r="L377" s="13"/>
      <c r="N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J378" s="13"/>
      <c r="K378" s="13"/>
      <c r="L378" s="13"/>
      <c r="N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J379" s="13"/>
      <c r="K379" s="13"/>
      <c r="L379" s="13"/>
      <c r="N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J380" s="13"/>
      <c r="K380" s="13"/>
      <c r="L380" s="13"/>
      <c r="N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J381" s="13"/>
      <c r="K381" s="13"/>
      <c r="L381" s="13"/>
      <c r="N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J382" s="13"/>
      <c r="K382" s="13"/>
      <c r="L382" s="13"/>
      <c r="N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J383" s="13"/>
      <c r="K383" s="13"/>
      <c r="L383" s="13"/>
      <c r="N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J384" s="13"/>
      <c r="K384" s="13"/>
      <c r="L384" s="13"/>
      <c r="N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J385" s="13"/>
      <c r="K385" s="13"/>
      <c r="L385" s="13"/>
      <c r="N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J386" s="13"/>
      <c r="K386" s="13"/>
      <c r="L386" s="13"/>
      <c r="N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J387" s="13"/>
      <c r="K387" s="13"/>
      <c r="L387" s="13"/>
      <c r="N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J388" s="13"/>
      <c r="K388" s="13"/>
      <c r="L388" s="13"/>
      <c r="N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J389" s="13"/>
      <c r="K389" s="13"/>
      <c r="L389" s="13"/>
      <c r="N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J390" s="13"/>
      <c r="K390" s="13"/>
      <c r="L390" s="13"/>
      <c r="N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J391" s="13"/>
      <c r="K391" s="13"/>
      <c r="L391" s="13"/>
      <c r="N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J392" s="13"/>
      <c r="K392" s="13"/>
      <c r="L392" s="13"/>
      <c r="N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J393" s="13"/>
      <c r="K393" s="13"/>
      <c r="L393" s="13"/>
      <c r="N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J394" s="13"/>
      <c r="K394" s="13"/>
      <c r="L394" s="13"/>
      <c r="N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J395" s="13"/>
      <c r="K395" s="13"/>
      <c r="L395" s="13"/>
      <c r="N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J396" s="13"/>
      <c r="K396" s="13"/>
      <c r="L396" s="13"/>
      <c r="N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J397" s="13"/>
      <c r="K397" s="13"/>
      <c r="L397" s="13"/>
      <c r="N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J398" s="13"/>
      <c r="K398" s="13"/>
      <c r="L398" s="13"/>
      <c r="N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J399" s="13"/>
      <c r="K399" s="13"/>
      <c r="L399" s="13"/>
      <c r="N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J400" s="13"/>
      <c r="K400" s="13"/>
      <c r="L400" s="13"/>
      <c r="N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J401" s="13"/>
      <c r="K401" s="13"/>
      <c r="L401" s="13"/>
      <c r="N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J402" s="13"/>
      <c r="K402" s="13"/>
      <c r="L402" s="13"/>
      <c r="N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J403" s="13"/>
      <c r="K403" s="13"/>
      <c r="L403" s="13"/>
      <c r="N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J404" s="13"/>
      <c r="K404" s="13"/>
      <c r="L404" s="13"/>
      <c r="N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J405" s="13"/>
      <c r="K405" s="13"/>
      <c r="L405" s="13"/>
      <c r="N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J406" s="13"/>
      <c r="K406" s="13"/>
      <c r="L406" s="13"/>
      <c r="N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J407" s="13"/>
      <c r="K407" s="13"/>
      <c r="L407" s="13"/>
      <c r="N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J408" s="13"/>
      <c r="K408" s="13"/>
      <c r="L408" s="13"/>
      <c r="N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J409" s="13"/>
      <c r="K409" s="13"/>
      <c r="L409" s="13"/>
      <c r="N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J410" s="13"/>
      <c r="K410" s="13"/>
      <c r="L410" s="13"/>
      <c r="N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J411" s="13"/>
      <c r="K411" s="13"/>
      <c r="L411" s="13"/>
      <c r="N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J412" s="13"/>
      <c r="K412" s="13"/>
      <c r="L412" s="13"/>
      <c r="N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J413" s="13"/>
      <c r="K413" s="13"/>
      <c r="L413" s="13"/>
      <c r="N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J414" s="13"/>
      <c r="K414" s="13"/>
      <c r="L414" s="13"/>
      <c r="N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J415" s="13"/>
      <c r="K415" s="13"/>
      <c r="L415" s="13"/>
      <c r="N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J416" s="13"/>
      <c r="K416" s="13"/>
      <c r="L416" s="13"/>
      <c r="N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J417" s="13"/>
      <c r="K417" s="13"/>
      <c r="L417" s="13"/>
      <c r="N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J418" s="13"/>
      <c r="K418" s="13"/>
      <c r="L418" s="13"/>
      <c r="N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J419" s="13"/>
      <c r="K419" s="13"/>
      <c r="L419" s="13"/>
      <c r="N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J420" s="13"/>
      <c r="K420" s="13"/>
      <c r="L420" s="13"/>
      <c r="N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J421" s="13"/>
      <c r="K421" s="13"/>
      <c r="L421" s="13"/>
      <c r="N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J422" s="13"/>
      <c r="K422" s="13"/>
      <c r="L422" s="13"/>
      <c r="N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J423" s="13"/>
      <c r="K423" s="13"/>
      <c r="L423" s="13"/>
      <c r="N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J424" s="13"/>
      <c r="K424" s="13"/>
      <c r="L424" s="13"/>
      <c r="N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J425" s="13"/>
      <c r="K425" s="13"/>
      <c r="L425" s="13"/>
      <c r="N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J426" s="13"/>
      <c r="K426" s="13"/>
      <c r="L426" s="13"/>
      <c r="N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J427" s="13"/>
      <c r="K427" s="13"/>
      <c r="L427" s="13"/>
      <c r="N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J428" s="13"/>
      <c r="K428" s="13"/>
      <c r="L428" s="13"/>
      <c r="N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J429" s="13"/>
      <c r="K429" s="13"/>
      <c r="L429" s="13"/>
      <c r="N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J430" s="13"/>
      <c r="K430" s="13"/>
      <c r="L430" s="13"/>
      <c r="N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J431" s="13"/>
      <c r="K431" s="13"/>
      <c r="L431" s="13"/>
      <c r="N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J432" s="13"/>
      <c r="K432" s="13"/>
      <c r="L432" s="13"/>
      <c r="N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J433" s="13"/>
      <c r="K433" s="13"/>
      <c r="L433" s="13"/>
      <c r="N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J434" s="13"/>
      <c r="K434" s="13"/>
      <c r="L434" s="13"/>
      <c r="N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J435" s="13"/>
      <c r="K435" s="13"/>
      <c r="L435" s="13"/>
      <c r="N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J436" s="13"/>
      <c r="K436" s="13"/>
      <c r="L436" s="13"/>
      <c r="N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J437" s="13"/>
      <c r="K437" s="13"/>
      <c r="L437" s="13"/>
      <c r="N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J438" s="13"/>
      <c r="K438" s="13"/>
      <c r="L438" s="13"/>
      <c r="N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J439" s="13"/>
      <c r="K439" s="13"/>
      <c r="L439" s="13"/>
      <c r="N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J440" s="13"/>
      <c r="K440" s="13"/>
      <c r="L440" s="13"/>
      <c r="N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J441" s="13"/>
      <c r="K441" s="13"/>
      <c r="L441" s="13"/>
      <c r="N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J442" s="13"/>
      <c r="K442" s="13"/>
      <c r="L442" s="13"/>
      <c r="N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J443" s="13"/>
      <c r="K443" s="13"/>
      <c r="L443" s="13"/>
      <c r="N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J444" s="13"/>
      <c r="K444" s="13"/>
      <c r="L444" s="13"/>
      <c r="N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J445" s="13"/>
      <c r="K445" s="13"/>
      <c r="L445" s="13"/>
      <c r="N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J446" s="13"/>
      <c r="K446" s="13"/>
      <c r="L446" s="13"/>
      <c r="N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J447" s="13"/>
      <c r="K447" s="13"/>
      <c r="L447" s="13"/>
      <c r="N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J448" s="13"/>
      <c r="K448" s="13"/>
      <c r="L448" s="13"/>
      <c r="N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J449" s="13"/>
      <c r="K449" s="13"/>
      <c r="L449" s="13"/>
      <c r="N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J450" s="13"/>
      <c r="K450" s="13"/>
      <c r="L450" s="13"/>
      <c r="N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J451" s="13"/>
      <c r="K451" s="13"/>
      <c r="L451" s="13"/>
      <c r="N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J452" s="13"/>
      <c r="K452" s="13"/>
      <c r="L452" s="13"/>
      <c r="N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J453" s="13"/>
      <c r="K453" s="13"/>
      <c r="L453" s="13"/>
      <c r="N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J454" s="13"/>
      <c r="K454" s="13"/>
      <c r="L454" s="13"/>
      <c r="N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J455" s="13"/>
      <c r="K455" s="13"/>
      <c r="L455" s="13"/>
      <c r="N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J456" s="13"/>
      <c r="K456" s="13"/>
      <c r="L456" s="13"/>
      <c r="N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J457" s="13"/>
      <c r="K457" s="13"/>
      <c r="L457" s="13"/>
      <c r="N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J458" s="13"/>
      <c r="K458" s="13"/>
      <c r="L458" s="13"/>
      <c r="N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J459" s="13"/>
      <c r="K459" s="13"/>
      <c r="L459" s="13"/>
      <c r="N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J460" s="13"/>
      <c r="K460" s="13"/>
      <c r="L460" s="13"/>
      <c r="N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J461" s="13"/>
      <c r="K461" s="13"/>
      <c r="L461" s="13"/>
      <c r="N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J462" s="13"/>
      <c r="K462" s="13"/>
      <c r="L462" s="13"/>
      <c r="N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J463" s="13"/>
      <c r="K463" s="13"/>
      <c r="L463" s="13"/>
      <c r="N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J464" s="13"/>
      <c r="K464" s="13"/>
      <c r="L464" s="13"/>
      <c r="N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J465" s="13"/>
      <c r="K465" s="13"/>
      <c r="L465" s="13"/>
      <c r="N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J466" s="13"/>
      <c r="K466" s="13"/>
      <c r="L466" s="13"/>
      <c r="N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J467" s="13"/>
      <c r="K467" s="13"/>
      <c r="L467" s="13"/>
      <c r="N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J468" s="13"/>
      <c r="K468" s="13"/>
      <c r="L468" s="13"/>
      <c r="N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J469" s="13"/>
      <c r="K469" s="13"/>
      <c r="L469" s="13"/>
      <c r="N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J470" s="13"/>
      <c r="K470" s="13"/>
      <c r="L470" s="13"/>
      <c r="N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J471" s="13"/>
      <c r="K471" s="13"/>
      <c r="L471" s="13"/>
      <c r="N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J472" s="13"/>
      <c r="K472" s="13"/>
      <c r="L472" s="13"/>
      <c r="N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J473" s="13"/>
      <c r="K473" s="13"/>
      <c r="L473" s="13"/>
      <c r="N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J474" s="13"/>
      <c r="K474" s="13"/>
      <c r="L474" s="13"/>
      <c r="N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J475" s="13"/>
      <c r="K475" s="13"/>
      <c r="L475" s="13"/>
      <c r="N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J476" s="13"/>
      <c r="K476" s="13"/>
      <c r="L476" s="13"/>
      <c r="N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J477" s="13"/>
      <c r="K477" s="13"/>
      <c r="L477" s="13"/>
      <c r="N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J478" s="13"/>
      <c r="K478" s="13"/>
      <c r="L478" s="13"/>
      <c r="N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J479" s="13"/>
      <c r="K479" s="13"/>
      <c r="L479" s="13"/>
      <c r="N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J480" s="13"/>
      <c r="K480" s="13"/>
      <c r="L480" s="13"/>
      <c r="N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J481" s="13"/>
      <c r="K481" s="13"/>
      <c r="L481" s="13"/>
      <c r="N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J482" s="13"/>
      <c r="K482" s="13"/>
      <c r="L482" s="13"/>
      <c r="N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J483" s="13"/>
      <c r="K483" s="13"/>
      <c r="L483" s="13"/>
      <c r="N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J484" s="13"/>
      <c r="K484" s="13"/>
      <c r="L484" s="13"/>
      <c r="N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J485" s="13"/>
      <c r="K485" s="13"/>
      <c r="L485" s="13"/>
      <c r="N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J486" s="13"/>
      <c r="K486" s="13"/>
      <c r="L486" s="13"/>
      <c r="N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J487" s="13"/>
      <c r="K487" s="13"/>
      <c r="L487" s="13"/>
      <c r="N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J488" s="13"/>
      <c r="K488" s="13"/>
      <c r="L488" s="13"/>
      <c r="N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J489" s="13"/>
      <c r="K489" s="13"/>
      <c r="L489" s="13"/>
      <c r="N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J490" s="13"/>
      <c r="K490" s="13"/>
      <c r="L490" s="13"/>
      <c r="N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J491" s="13"/>
      <c r="K491" s="13"/>
      <c r="L491" s="13"/>
      <c r="N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J492" s="13"/>
      <c r="K492" s="13"/>
      <c r="L492" s="13"/>
      <c r="N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J493" s="13"/>
      <c r="K493" s="13"/>
      <c r="L493" s="13"/>
      <c r="N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J494" s="13"/>
      <c r="K494" s="13"/>
      <c r="L494" s="13"/>
      <c r="N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J495" s="13"/>
      <c r="K495" s="13"/>
      <c r="L495" s="13"/>
      <c r="N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J496" s="13"/>
      <c r="K496" s="13"/>
      <c r="L496" s="13"/>
      <c r="N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J497" s="13"/>
      <c r="K497" s="13"/>
      <c r="L497" s="13"/>
      <c r="N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J498" s="13"/>
      <c r="K498" s="13"/>
      <c r="L498" s="13"/>
      <c r="N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J499" s="13"/>
      <c r="K499" s="13"/>
      <c r="L499" s="13"/>
      <c r="N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J500" s="13"/>
      <c r="K500" s="13"/>
      <c r="L500" s="13"/>
      <c r="N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J501" s="13"/>
      <c r="K501" s="13"/>
      <c r="L501" s="13"/>
      <c r="N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J502" s="13"/>
      <c r="K502" s="13"/>
      <c r="L502" s="13"/>
      <c r="N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J503" s="13"/>
      <c r="K503" s="13"/>
      <c r="L503" s="13"/>
      <c r="N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J504" s="13"/>
      <c r="K504" s="13"/>
      <c r="L504" s="13"/>
      <c r="N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J505" s="13"/>
      <c r="K505" s="13"/>
      <c r="L505" s="13"/>
      <c r="N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J506" s="13"/>
      <c r="K506" s="13"/>
      <c r="L506" s="13"/>
      <c r="N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J507" s="13"/>
      <c r="K507" s="13"/>
      <c r="L507" s="13"/>
      <c r="N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J508" s="13"/>
      <c r="K508" s="13"/>
      <c r="L508" s="13"/>
      <c r="N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J509" s="13"/>
      <c r="K509" s="13"/>
      <c r="L509" s="13"/>
      <c r="N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J510" s="13"/>
      <c r="K510" s="13"/>
      <c r="L510" s="13"/>
      <c r="N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J511" s="13"/>
      <c r="K511" s="13"/>
      <c r="L511" s="13"/>
      <c r="N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J512" s="13"/>
      <c r="K512" s="13"/>
      <c r="L512" s="13"/>
      <c r="N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J513" s="13"/>
      <c r="K513" s="13"/>
      <c r="L513" s="13"/>
      <c r="N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J514" s="13"/>
      <c r="K514" s="13"/>
      <c r="L514" s="13"/>
      <c r="N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J515" s="13"/>
      <c r="K515" s="13"/>
      <c r="L515" s="13"/>
      <c r="N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J516" s="13"/>
      <c r="K516" s="13"/>
      <c r="L516" s="13"/>
      <c r="N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J517" s="13"/>
      <c r="K517" s="13"/>
      <c r="L517" s="13"/>
      <c r="N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J518" s="13"/>
      <c r="K518" s="13"/>
      <c r="L518" s="13"/>
      <c r="N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J519" s="13"/>
      <c r="K519" s="13"/>
      <c r="L519" s="13"/>
      <c r="N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J520" s="13"/>
      <c r="K520" s="13"/>
      <c r="L520" s="13"/>
      <c r="N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J521" s="13"/>
      <c r="K521" s="13"/>
      <c r="L521" s="13"/>
      <c r="N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J522" s="13"/>
      <c r="K522" s="13"/>
      <c r="L522" s="13"/>
      <c r="N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J523" s="13"/>
      <c r="K523" s="13"/>
      <c r="L523" s="13"/>
      <c r="N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J524" s="13"/>
      <c r="K524" s="13"/>
      <c r="L524" s="13"/>
      <c r="N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J525" s="13"/>
      <c r="K525" s="13"/>
      <c r="L525" s="13"/>
      <c r="N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J526" s="13"/>
      <c r="K526" s="13"/>
      <c r="L526" s="13"/>
      <c r="N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J527" s="13"/>
      <c r="K527" s="13"/>
      <c r="L527" s="13"/>
      <c r="N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J528" s="13"/>
      <c r="K528" s="13"/>
      <c r="L528" s="13"/>
      <c r="N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J529" s="13"/>
      <c r="K529" s="13"/>
      <c r="L529" s="13"/>
      <c r="N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J530" s="13"/>
      <c r="K530" s="13"/>
      <c r="L530" s="13"/>
      <c r="N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J531" s="13"/>
      <c r="K531" s="13"/>
      <c r="L531" s="13"/>
      <c r="N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J532" s="13"/>
      <c r="K532" s="13"/>
      <c r="L532" s="13"/>
      <c r="N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J533" s="13"/>
      <c r="K533" s="13"/>
      <c r="L533" s="13"/>
      <c r="N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J534" s="13"/>
      <c r="K534" s="13"/>
      <c r="L534" s="13"/>
      <c r="N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J535" s="13"/>
      <c r="K535" s="13"/>
      <c r="L535" s="13"/>
      <c r="N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J536" s="13"/>
      <c r="K536" s="13"/>
      <c r="L536" s="13"/>
      <c r="N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J537" s="13"/>
      <c r="K537" s="13"/>
      <c r="L537" s="13"/>
      <c r="N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J538" s="13"/>
      <c r="K538" s="13"/>
      <c r="L538" s="13"/>
      <c r="N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J539" s="13"/>
      <c r="K539" s="13"/>
      <c r="L539" s="13"/>
      <c r="N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J540" s="13"/>
      <c r="K540" s="13"/>
      <c r="L540" s="13"/>
      <c r="N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J541" s="13"/>
      <c r="K541" s="13"/>
      <c r="L541" s="13"/>
      <c r="N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J542" s="13"/>
      <c r="K542" s="13"/>
      <c r="L542" s="13"/>
      <c r="N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J543" s="13"/>
      <c r="K543" s="13"/>
      <c r="L543" s="13"/>
      <c r="N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J544" s="13"/>
      <c r="K544" s="13"/>
      <c r="L544" s="13"/>
      <c r="N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J545" s="13"/>
      <c r="K545" s="13"/>
      <c r="L545" s="13"/>
      <c r="N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J546" s="13"/>
      <c r="K546" s="13"/>
      <c r="L546" s="13"/>
      <c r="N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J547" s="13"/>
      <c r="K547" s="13"/>
      <c r="L547" s="13"/>
      <c r="N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J548" s="13"/>
      <c r="K548" s="13"/>
      <c r="L548" s="13"/>
      <c r="N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J549" s="13"/>
      <c r="K549" s="13"/>
      <c r="L549" s="13"/>
      <c r="N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J550" s="13"/>
      <c r="K550" s="13"/>
      <c r="L550" s="13"/>
      <c r="N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J551" s="13"/>
      <c r="K551" s="13"/>
      <c r="L551" s="13"/>
      <c r="N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J552" s="13"/>
      <c r="K552" s="13"/>
      <c r="L552" s="13"/>
      <c r="N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J553" s="13"/>
      <c r="K553" s="13"/>
      <c r="L553" s="13"/>
      <c r="N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J554" s="13"/>
      <c r="K554" s="13"/>
      <c r="L554" s="13"/>
      <c r="N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J555" s="13"/>
      <c r="K555" s="13"/>
      <c r="L555" s="13"/>
      <c r="N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J556" s="13"/>
      <c r="K556" s="13"/>
      <c r="L556" s="13"/>
      <c r="N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J557" s="13"/>
      <c r="K557" s="13"/>
      <c r="L557" s="13"/>
      <c r="N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J558" s="13"/>
      <c r="K558" s="13"/>
      <c r="L558" s="13"/>
      <c r="N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J559" s="13"/>
      <c r="K559" s="13"/>
      <c r="L559" s="13"/>
      <c r="N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J560" s="13"/>
      <c r="K560" s="13"/>
      <c r="L560" s="13"/>
      <c r="N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J561" s="13"/>
      <c r="K561" s="13"/>
      <c r="L561" s="13"/>
      <c r="N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J562" s="13"/>
      <c r="K562" s="13"/>
      <c r="L562" s="13"/>
      <c r="N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J563" s="13"/>
      <c r="K563" s="13"/>
      <c r="L563" s="13"/>
      <c r="N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J564" s="13"/>
      <c r="K564" s="13"/>
      <c r="L564" s="13"/>
      <c r="N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J565" s="13"/>
      <c r="K565" s="13"/>
      <c r="L565" s="13"/>
      <c r="N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J566" s="13"/>
      <c r="K566" s="13"/>
      <c r="L566" s="13"/>
      <c r="N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J567" s="13"/>
      <c r="K567" s="13"/>
      <c r="L567" s="13"/>
      <c r="N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J568" s="13"/>
      <c r="K568" s="13"/>
      <c r="L568" s="13"/>
      <c r="N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J569" s="13"/>
      <c r="K569" s="13"/>
      <c r="L569" s="13"/>
      <c r="N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J570" s="13"/>
      <c r="K570" s="13"/>
      <c r="L570" s="13"/>
      <c r="N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J571" s="13"/>
      <c r="K571" s="13"/>
      <c r="L571" s="13"/>
      <c r="N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J572" s="13"/>
      <c r="K572" s="13"/>
      <c r="L572" s="13"/>
      <c r="N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J573" s="13"/>
      <c r="K573" s="13"/>
      <c r="L573" s="13"/>
      <c r="N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J574" s="13"/>
      <c r="K574" s="13"/>
      <c r="L574" s="13"/>
      <c r="N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J575" s="13"/>
      <c r="K575" s="13"/>
      <c r="L575" s="13"/>
      <c r="N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J576" s="13"/>
      <c r="K576" s="13"/>
      <c r="L576" s="13"/>
      <c r="N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J577" s="13"/>
      <c r="K577" s="13"/>
      <c r="L577" s="13"/>
      <c r="N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J578" s="13"/>
      <c r="K578" s="13"/>
      <c r="L578" s="13"/>
      <c r="N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J579" s="13"/>
      <c r="K579" s="13"/>
      <c r="L579" s="13"/>
      <c r="N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J580" s="13"/>
      <c r="K580" s="13"/>
      <c r="L580" s="13"/>
      <c r="N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J581" s="13"/>
      <c r="K581" s="13"/>
      <c r="L581" s="13"/>
      <c r="N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J582" s="13"/>
      <c r="K582" s="13"/>
      <c r="L582" s="13"/>
      <c r="N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J583" s="13"/>
      <c r="K583" s="13"/>
      <c r="L583" s="13"/>
      <c r="N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J584" s="13"/>
      <c r="K584" s="13"/>
      <c r="L584" s="13"/>
      <c r="N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J585" s="13"/>
      <c r="K585" s="13"/>
      <c r="L585" s="13"/>
      <c r="N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J586" s="13"/>
      <c r="K586" s="13"/>
      <c r="L586" s="13"/>
      <c r="N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J587" s="13"/>
      <c r="K587" s="13"/>
      <c r="L587" s="13"/>
      <c r="N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J588" s="13"/>
      <c r="K588" s="13"/>
      <c r="L588" s="13"/>
      <c r="N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J589" s="13"/>
      <c r="K589" s="13"/>
      <c r="L589" s="13"/>
      <c r="N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J590" s="13"/>
      <c r="K590" s="13"/>
      <c r="L590" s="13"/>
      <c r="N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J591" s="13"/>
      <c r="K591" s="13"/>
      <c r="L591" s="13"/>
      <c r="N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J592" s="13"/>
      <c r="K592" s="13"/>
      <c r="L592" s="13"/>
      <c r="N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J593" s="13"/>
      <c r="K593" s="13"/>
      <c r="L593" s="13"/>
      <c r="N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J594" s="13"/>
      <c r="K594" s="13"/>
      <c r="L594" s="13"/>
      <c r="N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J595" s="13"/>
      <c r="K595" s="13"/>
      <c r="L595" s="13"/>
      <c r="N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J596" s="13"/>
      <c r="K596" s="13"/>
      <c r="L596" s="13"/>
      <c r="N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J597" s="13"/>
      <c r="K597" s="13"/>
      <c r="L597" s="13"/>
      <c r="N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J598" s="13"/>
      <c r="K598" s="13"/>
      <c r="L598" s="13"/>
      <c r="N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J599" s="13"/>
      <c r="K599" s="13"/>
      <c r="L599" s="13"/>
      <c r="N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J600" s="13"/>
      <c r="K600" s="13"/>
      <c r="L600" s="13"/>
      <c r="N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J601" s="13"/>
      <c r="K601" s="13"/>
      <c r="L601" s="13"/>
      <c r="N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J602" s="13"/>
      <c r="K602" s="13"/>
      <c r="L602" s="13"/>
      <c r="N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J603" s="13"/>
      <c r="K603" s="13"/>
      <c r="L603" s="13"/>
      <c r="N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J604" s="13"/>
      <c r="K604" s="13"/>
      <c r="L604" s="13"/>
      <c r="N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J605" s="13"/>
      <c r="K605" s="13"/>
      <c r="L605" s="13"/>
      <c r="N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J606" s="13"/>
      <c r="K606" s="13"/>
      <c r="L606" s="13"/>
      <c r="N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J607" s="13"/>
      <c r="K607" s="13"/>
      <c r="L607" s="13"/>
      <c r="N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J608" s="13"/>
      <c r="K608" s="13"/>
      <c r="L608" s="13"/>
      <c r="N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J609" s="13"/>
      <c r="K609" s="13"/>
      <c r="L609" s="13"/>
      <c r="N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J610" s="13"/>
      <c r="K610" s="13"/>
      <c r="L610" s="13"/>
      <c r="N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J611" s="13"/>
      <c r="K611" s="13"/>
      <c r="L611" s="13"/>
      <c r="N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J612" s="13"/>
      <c r="K612" s="13"/>
      <c r="L612" s="13"/>
      <c r="N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J613" s="13"/>
      <c r="K613" s="13"/>
      <c r="L613" s="13"/>
      <c r="N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J614" s="13"/>
      <c r="K614" s="13"/>
      <c r="L614" s="13"/>
      <c r="N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J615" s="13"/>
      <c r="K615" s="13"/>
      <c r="L615" s="13"/>
      <c r="N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J616" s="13"/>
      <c r="K616" s="13"/>
      <c r="L616" s="13"/>
      <c r="N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J617" s="13"/>
      <c r="K617" s="13"/>
      <c r="L617" s="13"/>
      <c r="N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J618" s="13"/>
      <c r="K618" s="13"/>
      <c r="L618" s="13"/>
      <c r="N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J619" s="13"/>
      <c r="K619" s="13"/>
      <c r="L619" s="13"/>
      <c r="N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J620" s="13"/>
      <c r="K620" s="13"/>
      <c r="L620" s="13"/>
      <c r="N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J621" s="13"/>
      <c r="K621" s="13"/>
      <c r="L621" s="13"/>
      <c r="N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J622" s="13"/>
      <c r="K622" s="13"/>
      <c r="L622" s="13"/>
      <c r="N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J623" s="13"/>
      <c r="K623" s="13"/>
      <c r="L623" s="13"/>
      <c r="N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J624" s="13"/>
      <c r="K624" s="13"/>
      <c r="L624" s="13"/>
      <c r="N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J625" s="13"/>
      <c r="K625" s="13"/>
      <c r="L625" s="13"/>
      <c r="N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J626" s="13"/>
      <c r="K626" s="13"/>
      <c r="L626" s="13"/>
      <c r="N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J627" s="13"/>
      <c r="K627" s="13"/>
      <c r="L627" s="13"/>
      <c r="N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J628" s="13"/>
      <c r="K628" s="13"/>
      <c r="L628" s="13"/>
      <c r="N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J629" s="13"/>
      <c r="K629" s="13"/>
      <c r="L629" s="13"/>
      <c r="N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J630" s="13"/>
      <c r="K630" s="13"/>
      <c r="L630" s="13"/>
      <c r="N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J631" s="13"/>
      <c r="K631" s="13"/>
      <c r="L631" s="13"/>
      <c r="N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J632" s="13"/>
      <c r="K632" s="13"/>
      <c r="L632" s="13"/>
      <c r="N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J633" s="13"/>
      <c r="K633" s="13"/>
      <c r="L633" s="13"/>
      <c r="N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J634" s="13"/>
      <c r="K634" s="13"/>
      <c r="L634" s="13"/>
      <c r="N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J635" s="13"/>
      <c r="K635" s="13"/>
      <c r="L635" s="13"/>
      <c r="N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J636" s="13"/>
      <c r="K636" s="13"/>
      <c r="L636" s="13"/>
      <c r="N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J637" s="13"/>
      <c r="K637" s="13"/>
      <c r="L637" s="13"/>
      <c r="N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J638" s="13"/>
      <c r="K638" s="13"/>
      <c r="L638" s="13"/>
      <c r="N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J639" s="13"/>
      <c r="K639" s="13"/>
      <c r="L639" s="13"/>
      <c r="N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J640" s="13"/>
      <c r="K640" s="13"/>
      <c r="L640" s="13"/>
      <c r="N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J641" s="13"/>
      <c r="K641" s="13"/>
      <c r="L641" s="13"/>
      <c r="N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J642" s="13"/>
      <c r="K642" s="13"/>
      <c r="L642" s="13"/>
      <c r="N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J643" s="13"/>
      <c r="K643" s="13"/>
      <c r="L643" s="13"/>
      <c r="N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J644" s="13"/>
      <c r="K644" s="13"/>
      <c r="L644" s="13"/>
      <c r="N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J645" s="13"/>
      <c r="K645" s="13"/>
      <c r="L645" s="13"/>
      <c r="N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J646" s="13"/>
      <c r="K646" s="13"/>
      <c r="L646" s="13"/>
      <c r="N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J647" s="13"/>
      <c r="K647" s="13"/>
      <c r="L647" s="13"/>
      <c r="N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J648" s="13"/>
      <c r="K648" s="13"/>
      <c r="L648" s="13"/>
      <c r="N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J649" s="13"/>
      <c r="K649" s="13"/>
      <c r="L649" s="13"/>
      <c r="N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J650" s="13"/>
      <c r="K650" s="13"/>
      <c r="L650" s="13"/>
      <c r="N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J651" s="13"/>
      <c r="K651" s="13"/>
      <c r="L651" s="13"/>
      <c r="N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J652" s="13"/>
      <c r="K652" s="13"/>
      <c r="L652" s="13"/>
      <c r="N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J653" s="13"/>
      <c r="K653" s="13"/>
      <c r="L653" s="13"/>
      <c r="N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J654" s="13"/>
      <c r="K654" s="13"/>
      <c r="L654" s="13"/>
      <c r="N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J655" s="13"/>
      <c r="K655" s="13"/>
      <c r="L655" s="13"/>
      <c r="N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J656" s="13"/>
      <c r="K656" s="13"/>
      <c r="L656" s="13"/>
      <c r="N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J657" s="13"/>
      <c r="K657" s="13"/>
      <c r="L657" s="13"/>
      <c r="N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J658" s="13"/>
      <c r="K658" s="13"/>
      <c r="L658" s="13"/>
      <c r="N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J659" s="13"/>
      <c r="K659" s="13"/>
      <c r="L659" s="13"/>
      <c r="N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J660" s="13"/>
      <c r="K660" s="13"/>
      <c r="L660" s="13"/>
      <c r="N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J661" s="13"/>
      <c r="K661" s="13"/>
      <c r="L661" s="13"/>
      <c r="N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J662" s="13"/>
      <c r="K662" s="13"/>
      <c r="L662" s="13"/>
      <c r="N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J663" s="13"/>
      <c r="K663" s="13"/>
      <c r="L663" s="13"/>
      <c r="N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J664" s="13"/>
      <c r="K664" s="13"/>
      <c r="L664" s="13"/>
      <c r="N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J665" s="13"/>
      <c r="K665" s="13"/>
      <c r="L665" s="13"/>
      <c r="N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J666" s="13"/>
      <c r="K666" s="13"/>
      <c r="L666" s="13"/>
      <c r="N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J667" s="13"/>
      <c r="K667" s="13"/>
      <c r="L667" s="13"/>
      <c r="N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J668" s="13"/>
      <c r="K668" s="13"/>
      <c r="L668" s="13"/>
      <c r="N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J669" s="13"/>
      <c r="K669" s="13"/>
      <c r="L669" s="13"/>
      <c r="N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J670" s="13"/>
      <c r="K670" s="13"/>
      <c r="L670" s="13"/>
      <c r="N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J671" s="13"/>
      <c r="K671" s="13"/>
      <c r="L671" s="13"/>
      <c r="N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J672" s="13"/>
      <c r="K672" s="13"/>
      <c r="L672" s="13"/>
      <c r="N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J673" s="13"/>
      <c r="K673" s="13"/>
      <c r="L673" s="13"/>
      <c r="N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J674" s="13"/>
      <c r="K674" s="13"/>
      <c r="L674" s="13"/>
      <c r="N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J675" s="13"/>
      <c r="K675" s="13"/>
      <c r="L675" s="13"/>
      <c r="N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J676" s="13"/>
      <c r="K676" s="13"/>
      <c r="L676" s="13"/>
      <c r="N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J677" s="13"/>
      <c r="K677" s="13"/>
      <c r="L677" s="13"/>
      <c r="N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J678" s="13"/>
      <c r="K678" s="13"/>
      <c r="L678" s="13"/>
      <c r="N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J679" s="13"/>
      <c r="K679" s="13"/>
      <c r="L679" s="13"/>
      <c r="N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J680" s="13"/>
      <c r="K680" s="13"/>
      <c r="L680" s="13"/>
      <c r="N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J681" s="13"/>
      <c r="K681" s="13"/>
      <c r="L681" s="13"/>
      <c r="N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J682" s="13"/>
      <c r="K682" s="13"/>
      <c r="L682" s="13"/>
      <c r="N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J683" s="13"/>
      <c r="K683" s="13"/>
      <c r="L683" s="13"/>
      <c r="N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J684" s="13"/>
      <c r="K684" s="13"/>
      <c r="L684" s="13"/>
      <c r="N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J685" s="13"/>
      <c r="K685" s="13"/>
      <c r="L685" s="13"/>
      <c r="N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J686" s="13"/>
      <c r="K686" s="13"/>
      <c r="L686" s="13"/>
      <c r="N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J687" s="13"/>
      <c r="K687" s="13"/>
      <c r="L687" s="13"/>
      <c r="N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J688" s="13"/>
      <c r="K688" s="13"/>
      <c r="L688" s="13"/>
      <c r="N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J689" s="13"/>
      <c r="K689" s="13"/>
      <c r="L689" s="13"/>
      <c r="N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J690" s="13"/>
      <c r="K690" s="13"/>
      <c r="L690" s="13"/>
      <c r="N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J691" s="13"/>
      <c r="K691" s="13"/>
      <c r="L691" s="13"/>
      <c r="N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J692" s="13"/>
      <c r="K692" s="13"/>
      <c r="L692" s="13"/>
      <c r="N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J693" s="13"/>
      <c r="K693" s="13"/>
      <c r="L693" s="13"/>
      <c r="N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J694" s="13"/>
      <c r="K694" s="13"/>
      <c r="L694" s="13"/>
      <c r="N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J695" s="13"/>
      <c r="K695" s="13"/>
      <c r="L695" s="13"/>
      <c r="N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J696" s="13"/>
      <c r="K696" s="13"/>
      <c r="L696" s="13"/>
      <c r="N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J697" s="13"/>
      <c r="K697" s="13"/>
      <c r="L697" s="13"/>
      <c r="N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J698" s="13"/>
      <c r="K698" s="13"/>
      <c r="L698" s="13"/>
      <c r="N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J699" s="13"/>
      <c r="K699" s="13"/>
      <c r="L699" s="13"/>
      <c r="N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J700" s="13"/>
      <c r="K700" s="13"/>
      <c r="L700" s="13"/>
      <c r="N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J701" s="13"/>
      <c r="K701" s="13"/>
      <c r="L701" s="13"/>
      <c r="N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J702" s="13"/>
      <c r="K702" s="13"/>
      <c r="L702" s="13"/>
      <c r="N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J703" s="13"/>
      <c r="K703" s="13"/>
      <c r="L703" s="13"/>
      <c r="N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J704" s="13"/>
      <c r="K704" s="13"/>
      <c r="L704" s="13"/>
      <c r="N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J705" s="13"/>
      <c r="K705" s="13"/>
      <c r="L705" s="13"/>
      <c r="N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J706" s="13"/>
      <c r="K706" s="13"/>
      <c r="L706" s="13"/>
      <c r="N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J707" s="13"/>
      <c r="K707" s="13"/>
      <c r="L707" s="13"/>
      <c r="N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J708" s="13"/>
      <c r="K708" s="13"/>
      <c r="L708" s="13"/>
      <c r="N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J709" s="13"/>
      <c r="K709" s="13"/>
      <c r="L709" s="13"/>
      <c r="N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J710" s="13"/>
      <c r="K710" s="13"/>
      <c r="L710" s="13"/>
      <c r="N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J711" s="13"/>
      <c r="K711" s="13"/>
      <c r="L711" s="13"/>
      <c r="N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J712" s="13"/>
      <c r="K712" s="13"/>
      <c r="L712" s="13"/>
      <c r="N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J713" s="13"/>
      <c r="K713" s="13"/>
      <c r="L713" s="13"/>
      <c r="N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J714" s="13"/>
      <c r="K714" s="13"/>
      <c r="L714" s="13"/>
      <c r="N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J715" s="13"/>
      <c r="K715" s="13"/>
      <c r="L715" s="13"/>
      <c r="N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J716" s="13"/>
      <c r="K716" s="13"/>
      <c r="L716" s="13"/>
      <c r="N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J717" s="13"/>
      <c r="K717" s="13"/>
      <c r="L717" s="13"/>
      <c r="N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J718" s="13"/>
      <c r="K718" s="13"/>
      <c r="L718" s="13"/>
      <c r="N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J719" s="13"/>
      <c r="K719" s="13"/>
      <c r="L719" s="13"/>
      <c r="N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J720" s="13"/>
      <c r="K720" s="13"/>
      <c r="L720" s="13"/>
      <c r="N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J721" s="13"/>
      <c r="K721" s="13"/>
      <c r="L721" s="13"/>
      <c r="N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J722" s="13"/>
      <c r="K722" s="13"/>
      <c r="L722" s="13"/>
      <c r="N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J723" s="13"/>
      <c r="K723" s="13"/>
      <c r="L723" s="13"/>
      <c r="N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J724" s="13"/>
      <c r="K724" s="13"/>
      <c r="L724" s="13"/>
      <c r="N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J725" s="13"/>
      <c r="K725" s="13"/>
      <c r="L725" s="13"/>
      <c r="N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J726" s="13"/>
      <c r="K726" s="13"/>
      <c r="L726" s="13"/>
      <c r="N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J727" s="13"/>
      <c r="K727" s="13"/>
      <c r="L727" s="13"/>
      <c r="N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J728" s="13"/>
      <c r="K728" s="13"/>
      <c r="L728" s="13"/>
      <c r="N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J729" s="13"/>
      <c r="K729" s="13"/>
      <c r="L729" s="13"/>
      <c r="N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J730" s="13"/>
      <c r="K730" s="13"/>
      <c r="L730" s="13"/>
      <c r="N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J731" s="13"/>
      <c r="K731" s="13"/>
      <c r="L731" s="13"/>
      <c r="N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J732" s="13"/>
      <c r="K732" s="13"/>
      <c r="L732" s="13"/>
      <c r="N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J733" s="13"/>
      <c r="K733" s="13"/>
      <c r="L733" s="13"/>
      <c r="N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J734" s="13"/>
      <c r="K734" s="13"/>
      <c r="L734" s="13"/>
      <c r="N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J735" s="13"/>
      <c r="K735" s="13"/>
      <c r="L735" s="13"/>
      <c r="N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J736" s="13"/>
      <c r="K736" s="13"/>
      <c r="L736" s="13"/>
      <c r="N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J737" s="13"/>
      <c r="K737" s="13"/>
      <c r="L737" s="13"/>
      <c r="N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J738" s="13"/>
      <c r="K738" s="13"/>
      <c r="L738" s="13"/>
      <c r="N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J739" s="13"/>
      <c r="K739" s="13"/>
      <c r="L739" s="13"/>
      <c r="N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J740" s="13"/>
      <c r="K740" s="13"/>
      <c r="L740" s="13"/>
      <c r="N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J741" s="13"/>
      <c r="K741" s="13"/>
      <c r="L741" s="13"/>
      <c r="N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J742" s="13"/>
      <c r="K742" s="13"/>
      <c r="L742" s="13"/>
      <c r="N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J743" s="13"/>
      <c r="K743" s="13"/>
      <c r="L743" s="13"/>
      <c r="N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J744" s="13"/>
      <c r="K744" s="13"/>
      <c r="L744" s="13"/>
      <c r="N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J745" s="13"/>
      <c r="K745" s="13"/>
      <c r="L745" s="13"/>
      <c r="N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J746" s="13"/>
      <c r="K746" s="13"/>
      <c r="L746" s="13"/>
      <c r="N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J747" s="13"/>
      <c r="K747" s="13"/>
      <c r="L747" s="13"/>
      <c r="N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J748" s="13"/>
      <c r="K748" s="13"/>
      <c r="L748" s="13"/>
      <c r="N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J749" s="13"/>
      <c r="K749" s="13"/>
      <c r="L749" s="13"/>
      <c r="N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J750" s="13"/>
      <c r="K750" s="13"/>
      <c r="L750" s="13"/>
      <c r="N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J751" s="13"/>
      <c r="K751" s="13"/>
      <c r="L751" s="13"/>
      <c r="N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J752" s="13"/>
      <c r="K752" s="13"/>
      <c r="L752" s="13"/>
      <c r="N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J753" s="13"/>
      <c r="K753" s="13"/>
      <c r="L753" s="13"/>
      <c r="N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J754" s="13"/>
      <c r="K754" s="13"/>
      <c r="L754" s="13"/>
      <c r="N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J755" s="13"/>
      <c r="K755" s="13"/>
      <c r="L755" s="13"/>
      <c r="N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J756" s="13"/>
      <c r="K756" s="13"/>
      <c r="L756" s="13"/>
      <c r="N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J757" s="13"/>
      <c r="K757" s="13"/>
      <c r="L757" s="13"/>
      <c r="N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J758" s="13"/>
      <c r="K758" s="13"/>
      <c r="L758" s="13"/>
      <c r="N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J759" s="13"/>
      <c r="K759" s="13"/>
      <c r="L759" s="13"/>
      <c r="N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J760" s="13"/>
      <c r="K760" s="13"/>
      <c r="L760" s="13"/>
      <c r="N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J761" s="13"/>
      <c r="K761" s="13"/>
      <c r="L761" s="13"/>
      <c r="N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J762" s="13"/>
      <c r="K762" s="13"/>
      <c r="L762" s="13"/>
      <c r="N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J763" s="13"/>
      <c r="K763" s="13"/>
      <c r="L763" s="13"/>
      <c r="N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J764" s="13"/>
      <c r="K764" s="13"/>
      <c r="L764" s="13"/>
      <c r="N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J765" s="13"/>
      <c r="K765" s="13"/>
      <c r="L765" s="13"/>
      <c r="N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J766" s="13"/>
      <c r="K766" s="13"/>
      <c r="L766" s="13"/>
      <c r="N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J767" s="13"/>
      <c r="K767" s="13"/>
      <c r="L767" s="13"/>
      <c r="N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J768" s="13"/>
      <c r="K768" s="13"/>
      <c r="L768" s="13"/>
      <c r="N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J769" s="13"/>
      <c r="K769" s="13"/>
      <c r="L769" s="13"/>
      <c r="N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J770" s="13"/>
      <c r="K770" s="13"/>
      <c r="L770" s="13"/>
      <c r="N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J771" s="13"/>
      <c r="K771" s="13"/>
      <c r="L771" s="13"/>
      <c r="N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J772" s="13"/>
      <c r="K772" s="13"/>
      <c r="L772" s="13"/>
      <c r="N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J773" s="13"/>
      <c r="K773" s="13"/>
      <c r="L773" s="13"/>
      <c r="N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J774" s="13"/>
      <c r="K774" s="13"/>
      <c r="L774" s="13"/>
      <c r="N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J775" s="13"/>
      <c r="K775" s="13"/>
      <c r="L775" s="13"/>
      <c r="N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J776" s="13"/>
      <c r="K776" s="13"/>
      <c r="L776" s="13"/>
      <c r="N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J777" s="13"/>
      <c r="K777" s="13"/>
      <c r="L777" s="13"/>
      <c r="N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J778" s="13"/>
      <c r="K778" s="13"/>
      <c r="L778" s="13"/>
      <c r="N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J779" s="13"/>
      <c r="K779" s="13"/>
      <c r="L779" s="13"/>
      <c r="N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J780" s="13"/>
      <c r="K780" s="13"/>
      <c r="L780" s="13"/>
      <c r="N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J781" s="13"/>
      <c r="K781" s="13"/>
      <c r="L781" s="13"/>
      <c r="N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J782" s="13"/>
      <c r="K782" s="13"/>
      <c r="L782" s="13"/>
      <c r="N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J783" s="13"/>
      <c r="K783" s="13"/>
      <c r="L783" s="13"/>
      <c r="N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J784" s="13"/>
      <c r="K784" s="13"/>
      <c r="L784" s="13"/>
      <c r="N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J785" s="13"/>
      <c r="K785" s="13"/>
      <c r="L785" s="13"/>
      <c r="N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J786" s="13"/>
      <c r="K786" s="13"/>
      <c r="L786" s="13"/>
      <c r="N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J787" s="13"/>
      <c r="K787" s="13"/>
      <c r="L787" s="13"/>
      <c r="N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J788" s="13"/>
      <c r="K788" s="13"/>
      <c r="L788" s="13"/>
      <c r="N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J789" s="13"/>
      <c r="K789" s="13"/>
      <c r="L789" s="13"/>
      <c r="N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J790" s="13"/>
      <c r="K790" s="13"/>
      <c r="L790" s="13"/>
      <c r="N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J791" s="13"/>
      <c r="K791" s="13"/>
      <c r="L791" s="13"/>
      <c r="N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J792" s="13"/>
      <c r="K792" s="13"/>
      <c r="L792" s="13"/>
      <c r="N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J793" s="13"/>
      <c r="K793" s="13"/>
      <c r="L793" s="13"/>
      <c r="N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J794" s="13"/>
      <c r="K794" s="13"/>
      <c r="L794" s="13"/>
      <c r="N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J795" s="13"/>
      <c r="K795" s="13"/>
      <c r="L795" s="13"/>
      <c r="N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J796" s="13"/>
      <c r="K796" s="13"/>
      <c r="L796" s="13"/>
      <c r="N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J797" s="13"/>
      <c r="K797" s="13"/>
      <c r="L797" s="13"/>
      <c r="N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J798" s="13"/>
      <c r="K798" s="13"/>
      <c r="L798" s="13"/>
      <c r="N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J799" s="13"/>
      <c r="K799" s="13"/>
      <c r="L799" s="13"/>
      <c r="N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J800" s="13"/>
      <c r="K800" s="13"/>
      <c r="L800" s="13"/>
      <c r="N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J801" s="13"/>
      <c r="K801" s="13"/>
      <c r="L801" s="13"/>
      <c r="N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J802" s="13"/>
      <c r="K802" s="13"/>
      <c r="L802" s="13"/>
      <c r="N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J803" s="13"/>
      <c r="K803" s="13"/>
      <c r="L803" s="13"/>
      <c r="N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J804" s="13"/>
      <c r="K804" s="13"/>
      <c r="L804" s="13"/>
      <c r="N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J805" s="13"/>
      <c r="K805" s="13"/>
      <c r="L805" s="13"/>
      <c r="N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J806" s="13"/>
      <c r="K806" s="13"/>
      <c r="L806" s="13"/>
      <c r="N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J807" s="13"/>
      <c r="K807" s="13"/>
      <c r="L807" s="13"/>
      <c r="N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J808" s="13"/>
      <c r="K808" s="13"/>
      <c r="L808" s="13"/>
      <c r="N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J809" s="13"/>
      <c r="K809" s="13"/>
      <c r="L809" s="13"/>
      <c r="N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J810" s="13"/>
      <c r="K810" s="13"/>
      <c r="L810" s="13"/>
      <c r="N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J811" s="13"/>
      <c r="K811" s="13"/>
      <c r="L811" s="13"/>
      <c r="N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J812" s="13"/>
      <c r="K812" s="13"/>
      <c r="L812" s="13"/>
      <c r="N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J813" s="13"/>
      <c r="K813" s="13"/>
      <c r="L813" s="13"/>
      <c r="N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J814" s="13"/>
      <c r="K814" s="13"/>
      <c r="L814" s="13"/>
      <c r="N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J815" s="13"/>
      <c r="K815" s="13"/>
      <c r="L815" s="13"/>
      <c r="N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J816" s="13"/>
      <c r="K816" s="13"/>
      <c r="L816" s="13"/>
      <c r="N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J817" s="13"/>
      <c r="K817" s="13"/>
      <c r="L817" s="13"/>
      <c r="N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J818" s="13"/>
      <c r="K818" s="13"/>
      <c r="L818" s="13"/>
      <c r="N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J819" s="13"/>
      <c r="K819" s="13"/>
      <c r="L819" s="13"/>
      <c r="N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J820" s="13"/>
      <c r="K820" s="13"/>
      <c r="L820" s="13"/>
      <c r="N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J821" s="13"/>
      <c r="K821" s="13"/>
      <c r="L821" s="13"/>
      <c r="N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J822" s="13"/>
      <c r="K822" s="13"/>
      <c r="L822" s="13"/>
      <c r="N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J823" s="13"/>
      <c r="K823" s="13"/>
      <c r="L823" s="13"/>
      <c r="N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J824" s="13"/>
      <c r="K824" s="13"/>
      <c r="L824" s="13"/>
      <c r="N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J825" s="13"/>
      <c r="K825" s="13"/>
      <c r="L825" s="13"/>
      <c r="N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J826" s="13"/>
      <c r="K826" s="13"/>
      <c r="L826" s="13"/>
      <c r="N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J827" s="13"/>
      <c r="K827" s="13"/>
      <c r="L827" s="13"/>
      <c r="N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J828" s="13"/>
      <c r="K828" s="13"/>
      <c r="L828" s="13"/>
      <c r="N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J829" s="13"/>
      <c r="K829" s="13"/>
      <c r="L829" s="13"/>
      <c r="N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J830" s="13"/>
      <c r="K830" s="13"/>
      <c r="L830" s="13"/>
      <c r="N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J831" s="13"/>
      <c r="K831" s="13"/>
      <c r="L831" s="13"/>
      <c r="N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J832" s="13"/>
      <c r="K832" s="13"/>
      <c r="L832" s="13"/>
      <c r="N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J833" s="13"/>
      <c r="K833" s="13"/>
      <c r="L833" s="13"/>
      <c r="N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J834" s="13"/>
      <c r="K834" s="13"/>
      <c r="L834" s="13"/>
      <c r="N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J835" s="13"/>
      <c r="K835" s="13"/>
      <c r="L835" s="13"/>
      <c r="N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J836" s="13"/>
      <c r="K836" s="13"/>
      <c r="L836" s="13"/>
      <c r="N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J837" s="13"/>
      <c r="K837" s="13"/>
      <c r="L837" s="13"/>
      <c r="N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J838" s="13"/>
      <c r="K838" s="13"/>
      <c r="L838" s="13"/>
      <c r="N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J839" s="13"/>
      <c r="K839" s="13"/>
      <c r="L839" s="13"/>
      <c r="N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J840" s="13"/>
      <c r="K840" s="13"/>
      <c r="L840" s="13"/>
      <c r="N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J841" s="13"/>
      <c r="K841" s="13"/>
      <c r="L841" s="13"/>
      <c r="N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J842" s="13"/>
      <c r="K842" s="13"/>
      <c r="L842" s="13"/>
      <c r="N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J843" s="13"/>
      <c r="K843" s="13"/>
      <c r="L843" s="13"/>
      <c r="N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J844" s="13"/>
      <c r="K844" s="13"/>
      <c r="L844" s="13"/>
      <c r="N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J845" s="13"/>
      <c r="K845" s="13"/>
      <c r="L845" s="13"/>
      <c r="N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J846" s="13"/>
      <c r="K846" s="13"/>
      <c r="L846" s="13"/>
      <c r="N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J847" s="13"/>
      <c r="K847" s="13"/>
      <c r="L847" s="13"/>
      <c r="N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J848" s="13"/>
      <c r="K848" s="13"/>
      <c r="L848" s="13"/>
      <c r="N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J849" s="13"/>
      <c r="K849" s="13"/>
      <c r="L849" s="13"/>
      <c r="N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J850" s="13"/>
      <c r="K850" s="13"/>
      <c r="L850" s="13"/>
      <c r="N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J851" s="13"/>
      <c r="K851" s="13"/>
      <c r="L851" s="13"/>
      <c r="N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J852" s="13"/>
      <c r="K852" s="13"/>
      <c r="L852" s="13"/>
      <c r="N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J853" s="13"/>
      <c r="K853" s="13"/>
      <c r="L853" s="13"/>
      <c r="N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J854" s="13"/>
      <c r="K854" s="13"/>
      <c r="L854" s="13"/>
      <c r="N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J855" s="13"/>
      <c r="K855" s="13"/>
      <c r="L855" s="13"/>
      <c r="N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J856" s="13"/>
      <c r="K856" s="13"/>
      <c r="L856" s="13"/>
      <c r="N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J857" s="13"/>
      <c r="K857" s="13"/>
      <c r="L857" s="13"/>
      <c r="N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J858" s="13"/>
      <c r="K858" s="13"/>
      <c r="L858" s="13"/>
      <c r="N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J859" s="13"/>
      <c r="K859" s="13"/>
      <c r="L859" s="13"/>
      <c r="N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J860" s="13"/>
      <c r="K860" s="13"/>
      <c r="L860" s="13"/>
      <c r="N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J861" s="13"/>
      <c r="K861" s="13"/>
      <c r="L861" s="13"/>
      <c r="N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J862" s="13"/>
      <c r="K862" s="13"/>
      <c r="L862" s="13"/>
      <c r="N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J863" s="13"/>
      <c r="K863" s="13"/>
      <c r="L863" s="13"/>
      <c r="N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J864" s="13"/>
      <c r="K864" s="13"/>
      <c r="L864" s="13"/>
      <c r="N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J865" s="13"/>
      <c r="K865" s="13"/>
      <c r="L865" s="13"/>
      <c r="N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J866" s="13"/>
      <c r="K866" s="13"/>
      <c r="L866" s="13"/>
      <c r="N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J867" s="13"/>
      <c r="K867" s="13"/>
      <c r="L867" s="13"/>
      <c r="N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J868" s="13"/>
      <c r="K868" s="13"/>
      <c r="L868" s="13"/>
      <c r="N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J869" s="13"/>
      <c r="K869" s="13"/>
      <c r="L869" s="13"/>
      <c r="N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J870" s="13"/>
      <c r="K870" s="13"/>
      <c r="L870" s="13"/>
      <c r="N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J871" s="13"/>
      <c r="K871" s="13"/>
      <c r="L871" s="13"/>
      <c r="N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J872" s="13"/>
      <c r="K872" s="13"/>
      <c r="L872" s="13"/>
      <c r="N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J873" s="13"/>
      <c r="K873" s="13"/>
      <c r="L873" s="13"/>
      <c r="N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J874" s="13"/>
      <c r="K874" s="13"/>
      <c r="L874" s="13"/>
      <c r="N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J875" s="13"/>
      <c r="K875" s="13"/>
      <c r="L875" s="13"/>
      <c r="N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J876" s="13"/>
      <c r="K876" s="13"/>
      <c r="L876" s="13"/>
      <c r="N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J877" s="13"/>
      <c r="K877" s="13"/>
      <c r="L877" s="13"/>
      <c r="N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J878" s="13"/>
      <c r="K878" s="13"/>
      <c r="L878" s="13"/>
      <c r="N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J879" s="13"/>
      <c r="K879" s="13"/>
      <c r="L879" s="13"/>
      <c r="N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J880" s="13"/>
      <c r="K880" s="13"/>
      <c r="L880" s="13"/>
      <c r="N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J881" s="13"/>
      <c r="K881" s="13"/>
      <c r="L881" s="13"/>
      <c r="N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J882" s="13"/>
      <c r="K882" s="13"/>
      <c r="L882" s="13"/>
      <c r="N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J883" s="13"/>
      <c r="K883" s="13"/>
      <c r="L883" s="13"/>
      <c r="N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J884" s="13"/>
      <c r="K884" s="13"/>
      <c r="L884" s="13"/>
      <c r="N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J885" s="13"/>
      <c r="K885" s="13"/>
      <c r="L885" s="13"/>
      <c r="N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J886" s="13"/>
      <c r="K886" s="13"/>
      <c r="L886" s="13"/>
      <c r="N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J887" s="13"/>
      <c r="K887" s="13"/>
      <c r="L887" s="13"/>
      <c r="N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J888" s="13"/>
      <c r="K888" s="13"/>
      <c r="L888" s="13"/>
      <c r="N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J889" s="13"/>
      <c r="K889" s="13"/>
      <c r="L889" s="13"/>
      <c r="N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J890" s="13"/>
      <c r="K890" s="13"/>
      <c r="L890" s="13"/>
      <c r="N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J891" s="13"/>
      <c r="K891" s="13"/>
      <c r="L891" s="13"/>
      <c r="N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J892" s="13"/>
      <c r="K892" s="13"/>
      <c r="L892" s="13"/>
      <c r="N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J893" s="13"/>
      <c r="K893" s="13"/>
      <c r="L893" s="13"/>
      <c r="N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J894" s="13"/>
      <c r="K894" s="13"/>
      <c r="L894" s="13"/>
      <c r="N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J895" s="13"/>
      <c r="K895" s="13"/>
      <c r="L895" s="13"/>
      <c r="N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J896" s="13"/>
      <c r="K896" s="13"/>
      <c r="L896" s="13"/>
      <c r="N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J897" s="13"/>
      <c r="K897" s="13"/>
      <c r="L897" s="13"/>
      <c r="N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J898" s="13"/>
      <c r="K898" s="13"/>
      <c r="L898" s="13"/>
      <c r="N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J899" s="13"/>
      <c r="K899" s="13"/>
      <c r="L899" s="13"/>
      <c r="N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J900" s="13"/>
      <c r="K900" s="13"/>
      <c r="L900" s="13"/>
      <c r="N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J901" s="13"/>
      <c r="K901" s="13"/>
      <c r="L901" s="13"/>
      <c r="N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J902" s="13"/>
      <c r="K902" s="13"/>
      <c r="L902" s="13"/>
      <c r="N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J903" s="13"/>
      <c r="K903" s="13"/>
      <c r="L903" s="13"/>
      <c r="N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J904" s="13"/>
      <c r="K904" s="13"/>
      <c r="L904" s="13"/>
      <c r="N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J905" s="13"/>
      <c r="K905" s="13"/>
      <c r="L905" s="13"/>
      <c r="N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J906" s="13"/>
      <c r="K906" s="13"/>
      <c r="L906" s="13"/>
      <c r="N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J907" s="13"/>
      <c r="K907" s="13"/>
      <c r="L907" s="13"/>
      <c r="N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J908" s="13"/>
      <c r="K908" s="13"/>
      <c r="L908" s="13"/>
      <c r="N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J909" s="13"/>
      <c r="K909" s="13"/>
      <c r="L909" s="13"/>
      <c r="N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J910" s="13"/>
      <c r="K910" s="13"/>
      <c r="L910" s="13"/>
      <c r="N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J911" s="13"/>
      <c r="K911" s="13"/>
      <c r="L911" s="13"/>
      <c r="N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J912" s="13"/>
      <c r="K912" s="13"/>
      <c r="L912" s="13"/>
      <c r="N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J913" s="13"/>
      <c r="K913" s="13"/>
      <c r="L913" s="13"/>
      <c r="N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J914" s="13"/>
      <c r="K914" s="13"/>
      <c r="L914" s="13"/>
      <c r="N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J915" s="13"/>
      <c r="K915" s="13"/>
      <c r="L915" s="13"/>
      <c r="N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J916" s="13"/>
      <c r="K916" s="13"/>
      <c r="L916" s="13"/>
      <c r="N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J917" s="13"/>
      <c r="K917" s="13"/>
      <c r="L917" s="13"/>
      <c r="N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J918" s="13"/>
      <c r="K918" s="13"/>
      <c r="L918" s="13"/>
      <c r="N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J919" s="13"/>
      <c r="K919" s="13"/>
      <c r="L919" s="13"/>
      <c r="N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J920" s="13"/>
      <c r="K920" s="13"/>
      <c r="L920" s="13"/>
      <c r="N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J921" s="13"/>
      <c r="K921" s="13"/>
      <c r="L921" s="13"/>
      <c r="N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J922" s="13"/>
      <c r="K922" s="13"/>
      <c r="L922" s="13"/>
      <c r="N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J923" s="13"/>
      <c r="K923" s="13"/>
      <c r="L923" s="13"/>
      <c r="N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J924" s="13"/>
      <c r="K924" s="13"/>
      <c r="L924" s="13"/>
      <c r="N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J925" s="13"/>
      <c r="K925" s="13"/>
      <c r="L925" s="13"/>
      <c r="N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J926" s="13"/>
      <c r="K926" s="13"/>
      <c r="L926" s="13"/>
      <c r="N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J927" s="13"/>
      <c r="K927" s="13"/>
      <c r="L927" s="13"/>
      <c r="N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J928" s="13"/>
      <c r="K928" s="13"/>
      <c r="L928" s="13"/>
      <c r="N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J929" s="13"/>
      <c r="K929" s="13"/>
      <c r="L929" s="13"/>
      <c r="N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J930" s="13"/>
      <c r="K930" s="13"/>
      <c r="L930" s="13"/>
      <c r="N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J931" s="13"/>
      <c r="K931" s="13"/>
      <c r="L931" s="13"/>
      <c r="N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J932" s="13"/>
      <c r="K932" s="13"/>
      <c r="L932" s="13"/>
      <c r="N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J933" s="13"/>
      <c r="K933" s="13"/>
      <c r="L933" s="13"/>
      <c r="N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J934" s="13"/>
      <c r="K934" s="13"/>
      <c r="L934" s="13"/>
      <c r="N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J935" s="13"/>
      <c r="K935" s="13"/>
      <c r="L935" s="13"/>
      <c r="N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J936" s="13"/>
      <c r="K936" s="13"/>
      <c r="L936" s="13"/>
      <c r="N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J937" s="13"/>
      <c r="K937" s="13"/>
      <c r="L937" s="13"/>
      <c r="N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J938" s="13"/>
      <c r="K938" s="13"/>
      <c r="L938" s="13"/>
      <c r="N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J939" s="13"/>
      <c r="K939" s="13"/>
      <c r="L939" s="13"/>
      <c r="N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J940" s="13"/>
      <c r="K940" s="13"/>
      <c r="L940" s="13"/>
      <c r="N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J941" s="13"/>
      <c r="K941" s="13"/>
      <c r="L941" s="13"/>
      <c r="N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J942" s="13"/>
      <c r="K942" s="13"/>
      <c r="L942" s="13"/>
      <c r="N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J943" s="13"/>
      <c r="K943" s="13"/>
      <c r="L943" s="13"/>
      <c r="N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J944" s="13"/>
      <c r="K944" s="13"/>
      <c r="L944" s="13"/>
      <c r="N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J945" s="13"/>
      <c r="K945" s="13"/>
      <c r="L945" s="13"/>
      <c r="N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J946" s="13"/>
      <c r="K946" s="13"/>
      <c r="L946" s="13"/>
      <c r="N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J947" s="13"/>
      <c r="K947" s="13"/>
      <c r="L947" s="13"/>
      <c r="N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J948" s="13"/>
      <c r="K948" s="13"/>
      <c r="L948" s="13"/>
      <c r="N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J949" s="13"/>
      <c r="K949" s="13"/>
      <c r="L949" s="13"/>
      <c r="N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J950" s="13"/>
      <c r="K950" s="13"/>
      <c r="L950" s="13"/>
      <c r="N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J951" s="13"/>
      <c r="K951" s="13"/>
      <c r="L951" s="13"/>
      <c r="N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J952" s="13"/>
      <c r="K952" s="13"/>
      <c r="L952" s="13"/>
      <c r="N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J953" s="13"/>
      <c r="K953" s="13"/>
      <c r="L953" s="13"/>
      <c r="N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J954" s="13"/>
      <c r="K954" s="13"/>
      <c r="L954" s="13"/>
      <c r="N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J955" s="13"/>
      <c r="K955" s="13"/>
      <c r="L955" s="13"/>
      <c r="N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J956" s="13"/>
      <c r="K956" s="13"/>
      <c r="L956" s="13"/>
      <c r="N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J957" s="13"/>
      <c r="K957" s="13"/>
      <c r="L957" s="13"/>
      <c r="N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J958" s="13"/>
      <c r="K958" s="13"/>
      <c r="L958" s="13"/>
      <c r="N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J959" s="13"/>
      <c r="K959" s="13"/>
      <c r="L959" s="13"/>
      <c r="N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J960" s="13"/>
      <c r="K960" s="13"/>
      <c r="L960" s="13"/>
      <c r="N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J961" s="13"/>
      <c r="K961" s="13"/>
      <c r="L961" s="13"/>
      <c r="N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J962" s="13"/>
      <c r="K962" s="13"/>
      <c r="L962" s="13"/>
      <c r="N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J963" s="13"/>
      <c r="K963" s="13"/>
      <c r="L963" s="13"/>
      <c r="N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J964" s="13"/>
      <c r="K964" s="13"/>
      <c r="L964" s="13"/>
      <c r="N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J965" s="13"/>
      <c r="K965" s="13"/>
      <c r="L965" s="13"/>
      <c r="N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J966" s="13"/>
      <c r="K966" s="13"/>
      <c r="L966" s="13"/>
      <c r="N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J967" s="13"/>
      <c r="K967" s="13"/>
      <c r="L967" s="13"/>
      <c r="N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J968" s="13"/>
      <c r="K968" s="13"/>
      <c r="L968" s="13"/>
      <c r="N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J969" s="13"/>
      <c r="K969" s="13"/>
      <c r="L969" s="13"/>
      <c r="N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J970" s="13"/>
      <c r="K970" s="13"/>
      <c r="L970" s="13"/>
      <c r="N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J971" s="13"/>
      <c r="K971" s="13"/>
      <c r="L971" s="13"/>
      <c r="N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J972" s="13"/>
      <c r="K972" s="13"/>
      <c r="L972" s="13"/>
      <c r="N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J973" s="13"/>
      <c r="K973" s="13"/>
      <c r="L973" s="13"/>
      <c r="N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J974" s="13"/>
      <c r="K974" s="13"/>
      <c r="L974" s="13"/>
      <c r="N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J975" s="13"/>
      <c r="K975" s="13"/>
      <c r="L975" s="13"/>
      <c r="N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J976" s="13"/>
      <c r="K976" s="13"/>
      <c r="L976" s="13"/>
      <c r="N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J977" s="13"/>
      <c r="K977" s="13"/>
      <c r="L977" s="13"/>
      <c r="N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J978" s="13"/>
      <c r="K978" s="13"/>
      <c r="L978" s="13"/>
      <c r="N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J979" s="13"/>
      <c r="K979" s="13"/>
      <c r="L979" s="13"/>
      <c r="N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J980" s="13"/>
      <c r="K980" s="13"/>
      <c r="L980" s="13"/>
      <c r="N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J981" s="13"/>
      <c r="K981" s="13"/>
      <c r="L981" s="13"/>
      <c r="N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J982" s="13"/>
      <c r="K982" s="13"/>
      <c r="L982" s="13"/>
      <c r="N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J983" s="13"/>
      <c r="K983" s="13"/>
      <c r="L983" s="13"/>
      <c r="N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J984" s="13"/>
      <c r="K984" s="13"/>
      <c r="L984" s="13"/>
      <c r="N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J985" s="13"/>
      <c r="K985" s="13"/>
      <c r="L985" s="13"/>
      <c r="N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J986" s="13"/>
      <c r="K986" s="13"/>
      <c r="L986" s="13"/>
      <c r="N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J987" s="13"/>
      <c r="K987" s="13"/>
      <c r="L987" s="13"/>
      <c r="N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J988" s="13"/>
      <c r="K988" s="13"/>
      <c r="L988" s="13"/>
      <c r="N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J989" s="13"/>
      <c r="K989" s="13"/>
      <c r="L989" s="13"/>
      <c r="N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J990" s="13"/>
      <c r="K990" s="13"/>
      <c r="L990" s="13"/>
      <c r="N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J991" s="13"/>
      <c r="K991" s="13"/>
      <c r="L991" s="13"/>
      <c r="N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J992" s="13"/>
      <c r="K992" s="13"/>
      <c r="L992" s="13"/>
      <c r="N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J993" s="13"/>
      <c r="K993" s="13"/>
      <c r="L993" s="13"/>
      <c r="N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J994" s="13"/>
      <c r="K994" s="13"/>
      <c r="L994" s="13"/>
      <c r="N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J995" s="13"/>
      <c r="K995" s="13"/>
      <c r="L995" s="13"/>
      <c r="N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J996" s="13"/>
      <c r="K996" s="13"/>
      <c r="L996" s="13"/>
      <c r="N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J997" s="13"/>
      <c r="K997" s="13"/>
      <c r="L997" s="13"/>
      <c r="N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J998" s="13"/>
      <c r="K998" s="13"/>
      <c r="L998" s="13"/>
      <c r="N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J999" s="13"/>
      <c r="K999" s="13"/>
      <c r="L999" s="13"/>
      <c r="N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J1000" s="13"/>
      <c r="K1000" s="13"/>
      <c r="L1000" s="13"/>
      <c r="N1000" s="13"/>
    </row>
  </sheetData>
  <conditionalFormatting sqref="M1:M1000">
    <cfRule type="containsText" dxfId="0" priority="1" operator="containsText" text="TRUE">
      <formula>NOT(ISERROR(SEARCH(("TRUE"),(M1))))</formula>
    </cfRule>
  </conditionalFormatting>
  <conditionalFormatting sqref="M1:M1000">
    <cfRule type="containsText" dxfId="1" priority="2" operator="containsText" text="FALSE">
      <formula>NOT(ISERROR(SEARCH(("FALSE"),(M1))))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7.0"/>
    <col customWidth="1" min="3" max="3" width="14.38"/>
    <col customWidth="1" min="4" max="4" width="12.63"/>
    <col customWidth="1" min="5" max="5" width="14.63"/>
    <col customWidth="1" min="6" max="6" width="14.38"/>
    <col customWidth="1" min="7" max="7" width="10.0"/>
    <col customWidth="1" min="8" max="8" width="10.5"/>
    <col customWidth="1" min="10" max="10" width="9.75"/>
    <col customWidth="1" min="14" max="14" width="15.5"/>
  </cols>
  <sheetData>
    <row r="1" ht="15.75" customHeight="1">
      <c r="A1" s="15" t="s">
        <v>0</v>
      </c>
      <c r="B1" s="15" t="s">
        <v>20</v>
      </c>
      <c r="C1" s="15" t="s">
        <v>21</v>
      </c>
      <c r="D1" s="15" t="s">
        <v>22</v>
      </c>
      <c r="E1" s="15" t="s">
        <v>23</v>
      </c>
      <c r="F1" s="15" t="s">
        <v>24</v>
      </c>
      <c r="G1" s="15" t="s">
        <v>25</v>
      </c>
      <c r="H1" s="15" t="s">
        <v>26</v>
      </c>
      <c r="I1" s="15" t="s">
        <v>27</v>
      </c>
      <c r="J1" s="15" t="s">
        <v>28</v>
      </c>
      <c r="K1" s="15" t="s">
        <v>78</v>
      </c>
      <c r="L1" s="15"/>
      <c r="M1" s="15" t="s">
        <v>31</v>
      </c>
      <c r="N1" s="15" t="s">
        <v>79</v>
      </c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2" ht="15.75" customHeight="1">
      <c r="A2" s="14" t="s">
        <v>13</v>
      </c>
      <c r="B2" s="14" t="s">
        <v>32</v>
      </c>
      <c r="C2" s="14">
        <v>3.907448</v>
      </c>
      <c r="D2" s="14">
        <v>2383.725988</v>
      </c>
      <c r="E2" s="14">
        <v>128.334119</v>
      </c>
      <c r="F2" s="14">
        <v>3.830258</v>
      </c>
      <c r="G2" s="14">
        <v>1.285964</v>
      </c>
      <c r="H2" s="14">
        <v>23.898973</v>
      </c>
      <c r="I2" s="14">
        <v>1.0</v>
      </c>
      <c r="J2" s="14">
        <v>0.858641237476654</v>
      </c>
      <c r="K2" s="14">
        <v>0.999</v>
      </c>
      <c r="M2" s="14" t="b">
        <v>1</v>
      </c>
      <c r="N2" s="14">
        <f t="shared" ref="N2:N10" si="1">J2-J20</f>
        <v>0.01496655354</v>
      </c>
    </row>
    <row r="3" ht="15.75" customHeight="1">
      <c r="A3" s="14" t="s">
        <v>13</v>
      </c>
      <c r="B3" s="14" t="s">
        <v>34</v>
      </c>
      <c r="C3" s="14">
        <v>4.520128</v>
      </c>
      <c r="D3" s="14">
        <v>1485.064384</v>
      </c>
      <c r="E3" s="14">
        <v>55.797939</v>
      </c>
      <c r="F3" s="14">
        <v>7.384236</v>
      </c>
      <c r="G3" s="14">
        <v>1.873284</v>
      </c>
      <c r="H3" s="14">
        <v>51.8411579999999</v>
      </c>
      <c r="I3" s="14">
        <v>1.0</v>
      </c>
      <c r="J3" s="14">
        <v>0.915665615615615</v>
      </c>
      <c r="K3" s="14">
        <v>0.802</v>
      </c>
      <c r="M3" s="14" t="b">
        <v>0</v>
      </c>
      <c r="N3" s="14">
        <f t="shared" si="1"/>
        <v>-0.06670506757</v>
      </c>
    </row>
    <row r="4" ht="15.75" customHeight="1">
      <c r="A4" s="14" t="s">
        <v>13</v>
      </c>
      <c r="B4" s="14" t="s">
        <v>35</v>
      </c>
      <c r="C4" s="14">
        <v>98.165608</v>
      </c>
      <c r="D4" s="14">
        <v>124603.607336</v>
      </c>
      <c r="E4" s="14">
        <v>3570.991016</v>
      </c>
      <c r="F4" s="14">
        <v>73.363036</v>
      </c>
      <c r="G4" s="14">
        <v>28.108468</v>
      </c>
      <c r="H4" s="14">
        <v>374.788674</v>
      </c>
      <c r="I4" s="14">
        <v>1.0</v>
      </c>
      <c r="J4" s="14">
        <v>0.883149549132993</v>
      </c>
      <c r="K4" s="14">
        <v>0.986</v>
      </c>
      <c r="M4" s="14" t="b">
        <v>0</v>
      </c>
      <c r="N4" s="14">
        <f t="shared" si="1"/>
        <v>-0.006213929351</v>
      </c>
    </row>
    <row r="5" ht="15.75" customHeight="1">
      <c r="A5" s="14" t="s">
        <v>13</v>
      </c>
      <c r="B5" s="14" t="s">
        <v>36</v>
      </c>
      <c r="C5" s="14">
        <v>3.200128</v>
      </c>
      <c r="D5" s="14">
        <v>1049.458042</v>
      </c>
      <c r="E5" s="14">
        <v>32.619288</v>
      </c>
      <c r="F5" s="14">
        <v>4.285833</v>
      </c>
      <c r="G5" s="14">
        <v>0.942488</v>
      </c>
      <c r="H5" s="14">
        <v>29.027529</v>
      </c>
      <c r="I5" s="14">
        <v>1.0</v>
      </c>
      <c r="J5" s="14">
        <v>0.921067770583951</v>
      </c>
      <c r="K5" s="14">
        <v>0.708</v>
      </c>
      <c r="M5" s="14" t="b">
        <v>0</v>
      </c>
      <c r="N5" s="14">
        <f t="shared" si="1"/>
        <v>-0.04617071849</v>
      </c>
    </row>
    <row r="6" ht="15.75" customHeight="1">
      <c r="A6" s="14" t="s">
        <v>13</v>
      </c>
      <c r="B6" s="14" t="s">
        <v>38</v>
      </c>
      <c r="C6" s="14">
        <v>0.200128</v>
      </c>
      <c r="D6" s="14">
        <v>153.993645</v>
      </c>
      <c r="E6" s="14">
        <v>16.039678</v>
      </c>
      <c r="F6" s="14">
        <v>5.170353</v>
      </c>
      <c r="G6" s="14">
        <v>0.657736</v>
      </c>
      <c r="H6" s="14">
        <v>20.088587</v>
      </c>
      <c r="I6" s="14">
        <v>1.0</v>
      </c>
      <c r="J6" s="14">
        <v>0.691857396711895</v>
      </c>
      <c r="K6" s="14">
        <v>1.0</v>
      </c>
      <c r="M6" s="14" t="b">
        <v>0</v>
      </c>
      <c r="N6" s="14">
        <f t="shared" si="1"/>
        <v>-0.01873305695</v>
      </c>
    </row>
    <row r="7" ht="15.75" customHeight="1">
      <c r="A7" s="14" t="s">
        <v>13</v>
      </c>
      <c r="B7" s="14" t="s">
        <v>39</v>
      </c>
      <c r="C7" s="14">
        <v>3.340128</v>
      </c>
      <c r="D7" s="14">
        <v>1257.297562</v>
      </c>
      <c r="E7" s="14">
        <v>46.778396</v>
      </c>
      <c r="F7" s="14">
        <v>5.616334</v>
      </c>
      <c r="G7" s="14">
        <v>1.489857</v>
      </c>
      <c r="H7" s="14">
        <v>34.1426419999999</v>
      </c>
      <c r="I7" s="14">
        <v>1.0</v>
      </c>
      <c r="J7" s="14">
        <v>0.913694574321582</v>
      </c>
      <c r="K7" s="14">
        <v>0.91</v>
      </c>
      <c r="M7" s="14" t="b">
        <v>0</v>
      </c>
      <c r="N7" s="14">
        <f t="shared" si="1"/>
        <v>-0.05693722416</v>
      </c>
    </row>
    <row r="8" ht="15.75" customHeight="1">
      <c r="A8" s="14" t="s">
        <v>13</v>
      </c>
      <c r="B8" s="14" t="s">
        <v>40</v>
      </c>
      <c r="C8" s="14">
        <v>162.039016</v>
      </c>
      <c r="D8" s="14">
        <v>81393.441334</v>
      </c>
      <c r="E8" s="14">
        <v>2657.178598</v>
      </c>
      <c r="F8" s="14">
        <v>17.840338</v>
      </c>
      <c r="G8" s="14">
        <v>48.019203</v>
      </c>
      <c r="H8" s="14">
        <v>206.395372</v>
      </c>
      <c r="I8" s="14">
        <v>1.0</v>
      </c>
      <c r="J8" s="14">
        <v>0.78060306020126</v>
      </c>
      <c r="K8" s="14">
        <v>0.99</v>
      </c>
      <c r="M8" s="14" t="b">
        <v>1</v>
      </c>
      <c r="N8" s="14">
        <f t="shared" si="1"/>
        <v>0.05499384765</v>
      </c>
    </row>
    <row r="9" ht="15.75" customHeight="1">
      <c r="A9" s="14" t="s">
        <v>13</v>
      </c>
      <c r="B9" s="14" t="s">
        <v>41</v>
      </c>
      <c r="C9" s="14">
        <v>18.712096</v>
      </c>
      <c r="D9" s="14">
        <v>3625.385096</v>
      </c>
      <c r="E9" s="14">
        <v>272.029803</v>
      </c>
      <c r="F9" s="14">
        <v>2.232007</v>
      </c>
      <c r="G9" s="14">
        <v>3.956914</v>
      </c>
      <c r="H9" s="14">
        <v>102.842433</v>
      </c>
      <c r="I9" s="14">
        <v>1.0</v>
      </c>
      <c r="J9" s="14">
        <v>0.959860641465389</v>
      </c>
      <c r="K9" s="14">
        <v>1.0</v>
      </c>
      <c r="M9" s="14" t="b">
        <v>1</v>
      </c>
      <c r="N9" s="14">
        <f t="shared" si="1"/>
        <v>0.0699672226</v>
      </c>
    </row>
    <row r="10" ht="15.75" customHeight="1">
      <c r="A10" s="14" t="s">
        <v>13</v>
      </c>
      <c r="B10" s="14" t="s">
        <v>37</v>
      </c>
      <c r="C10" s="14">
        <v>255.645408</v>
      </c>
      <c r="D10" s="14">
        <v>101031.52781</v>
      </c>
      <c r="E10" s="14">
        <v>3483.14576</v>
      </c>
      <c r="F10" s="14">
        <v>6.745367</v>
      </c>
      <c r="G10" s="14">
        <v>41.86202</v>
      </c>
      <c r="H10" s="14">
        <v>248.961996</v>
      </c>
      <c r="I10" s="14">
        <v>1.0</v>
      </c>
      <c r="J10" s="14">
        <v>0.94124251190678</v>
      </c>
      <c r="K10" s="14">
        <v>1.0</v>
      </c>
      <c r="M10" s="14" t="b">
        <v>1</v>
      </c>
      <c r="N10" s="14">
        <f t="shared" si="1"/>
        <v>0.3085954278</v>
      </c>
    </row>
    <row r="11" ht="15.75" customHeight="1">
      <c r="A11" s="14" t="s">
        <v>16</v>
      </c>
      <c r="B11" s="14" t="s">
        <v>32</v>
      </c>
      <c r="C11" s="14">
        <v>3.907448</v>
      </c>
      <c r="D11" s="14">
        <v>2328.646013</v>
      </c>
      <c r="E11" s="14">
        <v>129.237405</v>
      </c>
      <c r="F11" s="14">
        <v>3.852963</v>
      </c>
      <c r="G11" s="14">
        <v>2.600964</v>
      </c>
      <c r="H11" s="14">
        <v>24.211729</v>
      </c>
      <c r="I11" s="14">
        <v>1.0</v>
      </c>
      <c r="J11" s="14">
        <v>0.871309431860872</v>
      </c>
      <c r="K11" s="14">
        <v>0.998</v>
      </c>
      <c r="M11" s="14" t="b">
        <v>1</v>
      </c>
      <c r="N11" s="14">
        <f t="shared" ref="N11:N19" si="2">J11 - J20</f>
        <v>0.02763474793</v>
      </c>
    </row>
    <row r="12" ht="15.75" customHeight="1">
      <c r="A12" s="14" t="s">
        <v>16</v>
      </c>
      <c r="B12" s="14" t="s">
        <v>34</v>
      </c>
      <c r="C12" s="14">
        <v>4.520128</v>
      </c>
      <c r="D12" s="14">
        <v>1472.051662</v>
      </c>
      <c r="E12" s="14">
        <v>60.319192</v>
      </c>
      <c r="F12" s="14">
        <v>7.385312</v>
      </c>
      <c r="G12" s="14">
        <v>1.791414</v>
      </c>
      <c r="H12" s="14">
        <v>52.604155</v>
      </c>
      <c r="I12" s="14">
        <v>1.0</v>
      </c>
      <c r="J12" s="14">
        <v>0.925503340840841</v>
      </c>
      <c r="K12" s="14">
        <v>0.733</v>
      </c>
      <c r="M12" s="14" t="b">
        <v>0</v>
      </c>
      <c r="N12" s="14">
        <f t="shared" si="2"/>
        <v>-0.05686734234</v>
      </c>
    </row>
    <row r="13" ht="15.75" customHeight="1">
      <c r="A13" s="14" t="s">
        <v>16</v>
      </c>
      <c r="B13" s="14" t="s">
        <v>35</v>
      </c>
      <c r="C13" s="14">
        <v>98.165608</v>
      </c>
      <c r="D13" s="14">
        <v>121751.887761</v>
      </c>
      <c r="E13" s="14">
        <v>3611.811411</v>
      </c>
      <c r="F13" s="14">
        <v>73.39932</v>
      </c>
      <c r="G13" s="14">
        <v>51.780754</v>
      </c>
      <c r="H13" s="14">
        <v>375.408794</v>
      </c>
      <c r="I13" s="14">
        <v>1.0</v>
      </c>
      <c r="J13" s="14">
        <v>0.899398994723518</v>
      </c>
      <c r="K13" s="14">
        <v>0.926</v>
      </c>
      <c r="M13" s="14" t="b">
        <v>1</v>
      </c>
      <c r="N13" s="14">
        <f t="shared" si="2"/>
        <v>0.01003551624</v>
      </c>
    </row>
    <row r="14" ht="15.75" customHeight="1">
      <c r="A14" s="14" t="s">
        <v>16</v>
      </c>
      <c r="B14" s="14" t="s">
        <v>36</v>
      </c>
      <c r="C14" s="14">
        <v>3.200128</v>
      </c>
      <c r="D14" s="14">
        <v>1033.948018</v>
      </c>
      <c r="E14" s="14">
        <v>35.833263</v>
      </c>
      <c r="F14" s="14">
        <v>4.286433</v>
      </c>
      <c r="G14" s="14">
        <v>0.923385</v>
      </c>
      <c r="H14" s="14">
        <v>27.874148</v>
      </c>
      <c r="I14" s="14">
        <v>1.0</v>
      </c>
      <c r="J14" s="14">
        <v>0.923236671068832</v>
      </c>
      <c r="K14" s="14">
        <v>0.745</v>
      </c>
      <c r="M14" s="14" t="b">
        <v>0</v>
      </c>
      <c r="N14" s="14">
        <f t="shared" si="2"/>
        <v>-0.04400181801</v>
      </c>
    </row>
    <row r="15" ht="15.75" customHeight="1">
      <c r="A15" s="14" t="s">
        <v>16</v>
      </c>
      <c r="B15" s="14" t="s">
        <v>38</v>
      </c>
      <c r="C15" s="14">
        <v>0.200128</v>
      </c>
      <c r="D15" s="14">
        <v>156.890837</v>
      </c>
      <c r="E15" s="14">
        <v>16.016313</v>
      </c>
      <c r="F15" s="14">
        <v>5.153919</v>
      </c>
      <c r="G15" s="14">
        <v>0.811462</v>
      </c>
      <c r="H15" s="14">
        <v>20.540822</v>
      </c>
      <c r="I15" s="14">
        <v>1.0</v>
      </c>
      <c r="J15" s="14">
        <v>0.615534208645862</v>
      </c>
      <c r="K15" s="14">
        <v>1.0</v>
      </c>
      <c r="M15" s="14" t="b">
        <v>0</v>
      </c>
      <c r="N15" s="14">
        <f t="shared" si="2"/>
        <v>-0.09505624501</v>
      </c>
    </row>
    <row r="16" ht="15.75" customHeight="1">
      <c r="A16" s="14" t="s">
        <v>16</v>
      </c>
      <c r="B16" s="14" t="s">
        <v>39</v>
      </c>
      <c r="C16" s="14">
        <v>3.340128</v>
      </c>
      <c r="D16" s="14">
        <v>1235.913072</v>
      </c>
      <c r="E16" s="14">
        <v>50.141573</v>
      </c>
      <c r="F16" s="14">
        <v>5.61713</v>
      </c>
      <c r="G16" s="14">
        <v>1.277236</v>
      </c>
      <c r="H16" s="14">
        <v>34.974483</v>
      </c>
      <c r="I16" s="14">
        <v>1.0</v>
      </c>
      <c r="J16" s="14">
        <v>0.906473347557475</v>
      </c>
      <c r="K16" s="14">
        <v>0.898</v>
      </c>
      <c r="M16" s="14" t="b">
        <v>0</v>
      </c>
      <c r="N16" s="14">
        <f t="shared" si="2"/>
        <v>-0.06415845092</v>
      </c>
    </row>
    <row r="17" ht="15.75" customHeight="1">
      <c r="A17" s="14" t="s">
        <v>16</v>
      </c>
      <c r="B17" s="14" t="s">
        <v>40</v>
      </c>
      <c r="C17" s="14">
        <v>162.039016</v>
      </c>
      <c r="D17" s="13"/>
      <c r="E17" s="13"/>
      <c r="F17" s="13"/>
      <c r="G17" s="13"/>
      <c r="H17" s="13"/>
      <c r="J17" s="13"/>
      <c r="M17" s="14" t="b">
        <v>0</v>
      </c>
      <c r="N17" s="14">
        <f t="shared" si="2"/>
        <v>-0.7256092125</v>
      </c>
    </row>
    <row r="18" ht="15.75" customHeight="1">
      <c r="A18" s="14" t="s">
        <v>16</v>
      </c>
      <c r="B18" s="14" t="s">
        <v>41</v>
      </c>
      <c r="C18" s="14">
        <v>18.712096</v>
      </c>
      <c r="D18" s="14">
        <v>4080.55298</v>
      </c>
      <c r="E18" s="14">
        <v>783.299215</v>
      </c>
      <c r="F18" s="14">
        <v>2.654075</v>
      </c>
      <c r="G18" s="14">
        <v>21.429942</v>
      </c>
      <c r="H18" s="14">
        <v>105.566932</v>
      </c>
      <c r="I18" s="14">
        <v>1.0</v>
      </c>
      <c r="J18" s="14">
        <v>0.95331006754764</v>
      </c>
      <c r="K18" s="14">
        <v>1.0</v>
      </c>
      <c r="M18" s="14" t="b">
        <v>1</v>
      </c>
      <c r="N18" s="14">
        <f t="shared" si="2"/>
        <v>0.06341664869</v>
      </c>
    </row>
    <row r="19" ht="15.75" customHeight="1">
      <c r="A19" s="14" t="s">
        <v>16</v>
      </c>
      <c r="B19" s="14" t="s">
        <v>37</v>
      </c>
      <c r="C19" s="14">
        <v>255.645408</v>
      </c>
      <c r="D19" s="14">
        <v>102181.294982</v>
      </c>
      <c r="E19" s="14">
        <v>3739.313497</v>
      </c>
      <c r="F19" s="14">
        <v>7.058024</v>
      </c>
      <c r="G19" s="14">
        <v>380.035388</v>
      </c>
      <c r="H19" s="14">
        <v>241.098579</v>
      </c>
      <c r="I19" s="14">
        <v>1.0</v>
      </c>
      <c r="J19" s="14">
        <v>0.765883011520666</v>
      </c>
      <c r="K19" s="14">
        <v>1.0</v>
      </c>
      <c r="M19" s="14" t="b">
        <v>1</v>
      </c>
      <c r="N19" s="14">
        <f t="shared" si="2"/>
        <v>0.1332359274</v>
      </c>
    </row>
    <row r="20" ht="15.75" customHeight="1">
      <c r="A20" s="14" t="s">
        <v>33</v>
      </c>
      <c r="B20" s="14" t="s">
        <v>32</v>
      </c>
      <c r="C20" s="14">
        <v>3.907448</v>
      </c>
      <c r="D20" s="14">
        <v>18.308799</v>
      </c>
      <c r="E20" s="14">
        <v>41.175672</v>
      </c>
      <c r="F20" s="14">
        <v>0.172044</v>
      </c>
      <c r="G20" s="14">
        <v>4.369227</v>
      </c>
      <c r="H20" s="14">
        <v>25.449745</v>
      </c>
      <c r="I20" s="14">
        <v>1.0</v>
      </c>
      <c r="J20" s="14">
        <v>0.843674683934206</v>
      </c>
      <c r="K20" s="14">
        <v>1.0</v>
      </c>
      <c r="M20" s="14" t="b">
        <v>0</v>
      </c>
      <c r="N20" s="14">
        <f t="shared" ref="N20:N28" si="3">J20-J20</f>
        <v>0</v>
      </c>
    </row>
    <row r="21" ht="15.75" customHeight="1">
      <c r="A21" s="14" t="s">
        <v>33</v>
      </c>
      <c r="B21" s="14" t="s">
        <v>34</v>
      </c>
      <c r="C21" s="14">
        <v>4.520128</v>
      </c>
      <c r="D21" s="14">
        <v>39.231529</v>
      </c>
      <c r="E21" s="14">
        <v>61.44925</v>
      </c>
      <c r="F21" s="14">
        <v>0.301853</v>
      </c>
      <c r="G21" s="14">
        <v>6.981443</v>
      </c>
      <c r="H21" s="14">
        <v>52.251232</v>
      </c>
      <c r="I21" s="14">
        <v>1.0</v>
      </c>
      <c r="J21" s="14">
        <v>0.982370683183183</v>
      </c>
      <c r="K21" s="14">
        <v>0.962</v>
      </c>
      <c r="M21" s="14" t="b">
        <v>0</v>
      </c>
      <c r="N21" s="14">
        <f t="shared" si="3"/>
        <v>0</v>
      </c>
    </row>
    <row r="22" ht="15.75" customHeight="1">
      <c r="A22" s="14" t="s">
        <v>33</v>
      </c>
      <c r="B22" s="14" t="s">
        <v>35</v>
      </c>
      <c r="C22" s="14">
        <v>98.165608</v>
      </c>
      <c r="D22" s="14">
        <v>389.877614</v>
      </c>
      <c r="E22" s="14">
        <v>1009.310071</v>
      </c>
      <c r="F22" s="14">
        <v>0.362238</v>
      </c>
      <c r="G22" s="14">
        <v>100.162797</v>
      </c>
      <c r="H22" s="14">
        <v>383.102005</v>
      </c>
      <c r="I22" s="14">
        <v>1.0</v>
      </c>
      <c r="J22" s="14">
        <v>0.889363478483698</v>
      </c>
      <c r="K22" s="14">
        <v>1.0</v>
      </c>
      <c r="M22" s="14" t="b">
        <v>0</v>
      </c>
      <c r="N22" s="14">
        <f t="shared" si="3"/>
        <v>0</v>
      </c>
    </row>
    <row r="23" ht="15.75" customHeight="1">
      <c r="A23" s="14" t="s">
        <v>33</v>
      </c>
      <c r="B23" s="14" t="s">
        <v>36</v>
      </c>
      <c r="C23" s="14">
        <v>3.200128</v>
      </c>
      <c r="D23" s="14">
        <v>17.89795</v>
      </c>
      <c r="E23" s="14">
        <v>33.350349</v>
      </c>
      <c r="F23" s="14">
        <v>0.195252</v>
      </c>
      <c r="G23" s="14">
        <v>3.610204</v>
      </c>
      <c r="H23" s="14">
        <v>28.601287</v>
      </c>
      <c r="I23" s="14">
        <v>1.0</v>
      </c>
      <c r="J23" s="14">
        <v>0.967238489074611</v>
      </c>
      <c r="K23" s="14">
        <v>0.984</v>
      </c>
      <c r="M23" s="14" t="b">
        <v>0</v>
      </c>
      <c r="N23" s="14">
        <f t="shared" si="3"/>
        <v>0</v>
      </c>
    </row>
    <row r="24" ht="15.75" customHeight="1">
      <c r="A24" s="14" t="s">
        <v>33</v>
      </c>
      <c r="B24" s="14" t="s">
        <v>38</v>
      </c>
      <c r="C24" s="14">
        <v>0.200128</v>
      </c>
      <c r="D24" s="14">
        <v>11.255967</v>
      </c>
      <c r="E24" s="14">
        <v>3.115564</v>
      </c>
      <c r="F24" s="14">
        <v>0.293739</v>
      </c>
      <c r="G24" s="14">
        <v>0.742521</v>
      </c>
      <c r="H24" s="14">
        <v>21.013115</v>
      </c>
      <c r="I24" s="14">
        <v>1.0</v>
      </c>
      <c r="J24" s="14">
        <v>0.710590453657949</v>
      </c>
      <c r="K24" s="14">
        <v>1.0</v>
      </c>
      <c r="M24" s="14" t="b">
        <v>0</v>
      </c>
      <c r="N24" s="14">
        <f t="shared" si="3"/>
        <v>0</v>
      </c>
    </row>
    <row r="25" ht="15.75" customHeight="1">
      <c r="A25" s="14" t="s">
        <v>33</v>
      </c>
      <c r="B25" s="14" t="s">
        <v>39</v>
      </c>
      <c r="C25" s="14">
        <v>3.340128</v>
      </c>
      <c r="D25" s="14">
        <v>28.884195</v>
      </c>
      <c r="E25" s="14">
        <v>44.932206</v>
      </c>
      <c r="F25" s="14">
        <v>0.23972</v>
      </c>
      <c r="G25" s="14">
        <v>4.82674</v>
      </c>
      <c r="H25" s="14">
        <v>34.828132</v>
      </c>
      <c r="I25" s="14">
        <v>1.0</v>
      </c>
      <c r="J25" s="14">
        <v>0.970631798477057</v>
      </c>
      <c r="K25" s="14">
        <v>1.0</v>
      </c>
      <c r="M25" s="14" t="b">
        <v>0</v>
      </c>
      <c r="N25" s="14">
        <f t="shared" si="3"/>
        <v>0</v>
      </c>
    </row>
    <row r="26" ht="15.75" customHeight="1">
      <c r="A26" s="14" t="s">
        <v>33</v>
      </c>
      <c r="B26" s="14" t="s">
        <v>40</v>
      </c>
      <c r="C26" s="14">
        <v>162.039016</v>
      </c>
      <c r="D26" s="14">
        <v>305.673919</v>
      </c>
      <c r="E26" s="14">
        <v>1665.507257</v>
      </c>
      <c r="F26" s="14">
        <v>0.337181</v>
      </c>
      <c r="G26" s="14">
        <v>171.165414</v>
      </c>
      <c r="H26" s="14">
        <v>218.709195</v>
      </c>
      <c r="I26" s="14">
        <v>1.0</v>
      </c>
      <c r="J26" s="14">
        <v>0.725609212549171</v>
      </c>
      <c r="K26" s="14">
        <v>1.0</v>
      </c>
      <c r="M26" s="14" t="b">
        <v>0</v>
      </c>
      <c r="N26" s="14">
        <f t="shared" si="3"/>
        <v>0</v>
      </c>
    </row>
    <row r="27" ht="15.75" customHeight="1">
      <c r="A27" s="14" t="s">
        <v>33</v>
      </c>
      <c r="B27" s="14" t="s">
        <v>41</v>
      </c>
      <c r="C27" s="14">
        <v>18.712096</v>
      </c>
      <c r="D27" s="14">
        <v>52.487195</v>
      </c>
      <c r="E27" s="14">
        <v>192.978752</v>
      </c>
      <c r="F27" s="14">
        <v>0.455285</v>
      </c>
      <c r="G27" s="14">
        <v>19.7138</v>
      </c>
      <c r="H27" s="14">
        <v>105.112103</v>
      </c>
      <c r="I27" s="14">
        <v>1.0</v>
      </c>
      <c r="J27" s="14">
        <v>0.889893418861734</v>
      </c>
      <c r="K27" s="14">
        <v>1.0</v>
      </c>
      <c r="M27" s="14" t="b">
        <v>0</v>
      </c>
      <c r="N27" s="14">
        <f t="shared" si="3"/>
        <v>0</v>
      </c>
    </row>
    <row r="28" ht="15.75" customHeight="1">
      <c r="A28" s="14" t="s">
        <v>33</v>
      </c>
      <c r="B28" s="14" t="s">
        <v>37</v>
      </c>
      <c r="C28" s="14">
        <v>255.645408</v>
      </c>
      <c r="D28" s="14">
        <v>415.13648</v>
      </c>
      <c r="E28" s="14">
        <v>2625.834584</v>
      </c>
      <c r="F28" s="14">
        <v>0.426677</v>
      </c>
      <c r="G28" s="14">
        <v>337.132823</v>
      </c>
      <c r="H28" s="14">
        <v>248.028064</v>
      </c>
      <c r="I28" s="14">
        <v>1.0</v>
      </c>
      <c r="J28" s="14">
        <v>0.632647084096734</v>
      </c>
      <c r="K28" s="14">
        <v>1.0</v>
      </c>
      <c r="M28" s="14" t="b">
        <v>0</v>
      </c>
      <c r="N28" s="14">
        <f t="shared" si="3"/>
        <v>0</v>
      </c>
    </row>
    <row r="29" ht="15.75" customHeight="1">
      <c r="A29" s="14" t="s">
        <v>18</v>
      </c>
      <c r="B29" s="14" t="s">
        <v>32</v>
      </c>
      <c r="C29" s="14">
        <v>3.907448</v>
      </c>
      <c r="D29" s="14">
        <v>1050.282515</v>
      </c>
      <c r="E29" s="14">
        <v>128.351186</v>
      </c>
      <c r="F29" s="14">
        <v>0.94009</v>
      </c>
      <c r="G29" s="14">
        <v>0.814395</v>
      </c>
      <c r="H29" s="14">
        <v>23.326667</v>
      </c>
      <c r="I29" s="14">
        <v>1.0</v>
      </c>
      <c r="J29" s="14">
        <v>0.876214638682335</v>
      </c>
      <c r="K29" s="14">
        <v>0.997</v>
      </c>
      <c r="M29" s="14" t="b">
        <v>1</v>
      </c>
      <c r="N29" s="14">
        <f t="shared" ref="N29:N37" si="4">J29-J20</f>
        <v>0.03253995475</v>
      </c>
    </row>
    <row r="30" ht="15.75" customHeight="1">
      <c r="A30" s="14" t="s">
        <v>18</v>
      </c>
      <c r="B30" s="14" t="s">
        <v>34</v>
      </c>
      <c r="C30" s="14">
        <v>4.520128</v>
      </c>
      <c r="D30" s="14">
        <v>475.485629</v>
      </c>
      <c r="E30" s="14">
        <v>55.80536</v>
      </c>
      <c r="F30" s="14">
        <v>0.857763</v>
      </c>
      <c r="G30" s="14">
        <v>1.402226</v>
      </c>
      <c r="H30" s="14">
        <v>50.409752</v>
      </c>
      <c r="I30" s="14">
        <v>1.0</v>
      </c>
      <c r="J30" s="14">
        <v>0.969356869369369</v>
      </c>
      <c r="K30" s="14">
        <v>0.508</v>
      </c>
      <c r="M30" s="14" t="b">
        <v>0</v>
      </c>
      <c r="N30" s="14">
        <f t="shared" si="4"/>
        <v>-0.01301381381</v>
      </c>
    </row>
    <row r="31" ht="15.75" customHeight="1">
      <c r="A31" s="14" t="s">
        <v>18</v>
      </c>
      <c r="B31" s="14" t="s">
        <v>35</v>
      </c>
      <c r="C31" s="14">
        <v>98.165608</v>
      </c>
      <c r="D31" s="14">
        <v>26454.154262</v>
      </c>
      <c r="E31" s="14">
        <v>3570.988239</v>
      </c>
      <c r="F31" s="14">
        <v>5.227566</v>
      </c>
      <c r="G31" s="14">
        <v>16.871633</v>
      </c>
      <c r="H31" s="14">
        <v>379.941717</v>
      </c>
      <c r="I31" s="14">
        <v>1.0</v>
      </c>
      <c r="J31" s="14">
        <v>0.919549532363375</v>
      </c>
      <c r="K31" s="14">
        <v>0.912</v>
      </c>
      <c r="M31" s="14" t="b">
        <v>1</v>
      </c>
      <c r="N31" s="14">
        <f t="shared" si="4"/>
        <v>0.03018605388</v>
      </c>
    </row>
    <row r="32" ht="15.75" customHeight="1">
      <c r="A32" s="14" t="s">
        <v>18</v>
      </c>
      <c r="B32" s="14" t="s">
        <v>36</v>
      </c>
      <c r="C32" s="14">
        <v>3.200128</v>
      </c>
      <c r="D32" s="14">
        <v>383.876418</v>
      </c>
      <c r="E32" s="14">
        <v>32.628177</v>
      </c>
      <c r="F32" s="14">
        <v>0.695468</v>
      </c>
      <c r="G32" s="14">
        <v>0.679205</v>
      </c>
      <c r="H32" s="14">
        <v>28.652223</v>
      </c>
      <c r="I32" s="14">
        <v>1.0</v>
      </c>
      <c r="J32" s="14">
        <v>0.967670771657417</v>
      </c>
      <c r="K32" s="14">
        <v>0.72</v>
      </c>
      <c r="M32" s="14" t="b">
        <v>1</v>
      </c>
      <c r="N32" s="14">
        <f t="shared" si="4"/>
        <v>0.0004322825828</v>
      </c>
    </row>
    <row r="33" ht="15.75" customHeight="1">
      <c r="A33" s="14" t="s">
        <v>18</v>
      </c>
      <c r="B33" s="14" t="s">
        <v>38</v>
      </c>
      <c r="C33" s="14">
        <v>0.200128</v>
      </c>
      <c r="D33" s="14">
        <v>39.686057</v>
      </c>
      <c r="E33" s="14">
        <v>16.011004</v>
      </c>
      <c r="F33" s="14">
        <v>0.844408</v>
      </c>
      <c r="G33" s="14">
        <v>0.636427</v>
      </c>
      <c r="H33" s="14">
        <v>21.282602</v>
      </c>
      <c r="I33" s="14">
        <v>1.0</v>
      </c>
      <c r="J33" s="14">
        <v>0.713883366581552</v>
      </c>
      <c r="K33" s="14">
        <v>0.934</v>
      </c>
      <c r="M33" s="14" t="b">
        <v>1</v>
      </c>
      <c r="N33" s="14">
        <f t="shared" si="4"/>
        <v>0.003292912924</v>
      </c>
    </row>
    <row r="34" ht="15.75" customHeight="1">
      <c r="A34" s="14" t="s">
        <v>18</v>
      </c>
      <c r="B34" s="14" t="s">
        <v>39</v>
      </c>
      <c r="C34" s="14">
        <v>3.340128</v>
      </c>
      <c r="D34" s="14">
        <v>430.607255</v>
      </c>
      <c r="E34" s="14">
        <v>46.77885</v>
      </c>
      <c r="F34" s="14">
        <v>0.76863</v>
      </c>
      <c r="G34" s="14">
        <v>1.013308</v>
      </c>
      <c r="H34" s="14">
        <v>34.584059</v>
      </c>
      <c r="I34" s="14">
        <v>1.0</v>
      </c>
      <c r="J34" s="14">
        <v>0.932679171003544</v>
      </c>
      <c r="K34" s="14">
        <v>0.937</v>
      </c>
      <c r="M34" s="14" t="b">
        <v>0</v>
      </c>
      <c r="N34" s="14">
        <f t="shared" si="4"/>
        <v>-0.03795262747</v>
      </c>
    </row>
    <row r="35" ht="15.75" customHeight="1">
      <c r="A35" s="14" t="s">
        <v>18</v>
      </c>
      <c r="B35" s="14" t="s">
        <v>40</v>
      </c>
      <c r="C35" s="14">
        <v>162.039016</v>
      </c>
      <c r="D35" s="14">
        <v>39507.349714</v>
      </c>
      <c r="E35" s="14">
        <v>2657.18591</v>
      </c>
      <c r="F35" s="14">
        <v>8.056874</v>
      </c>
      <c r="G35" s="14">
        <v>37.98318</v>
      </c>
      <c r="H35" s="14">
        <v>212.75115</v>
      </c>
      <c r="I35" s="14">
        <v>1.0</v>
      </c>
      <c r="J35" s="14">
        <v>0.869791907246039</v>
      </c>
      <c r="K35" s="14">
        <v>0.95</v>
      </c>
      <c r="M35" s="14" t="b">
        <v>1</v>
      </c>
      <c r="N35" s="14">
        <f t="shared" si="4"/>
        <v>0.1441826947</v>
      </c>
    </row>
    <row r="36" ht="15.75" customHeight="1">
      <c r="A36" s="14" t="s">
        <v>18</v>
      </c>
      <c r="B36" s="14" t="s">
        <v>41</v>
      </c>
      <c r="C36" s="14">
        <v>18.712096</v>
      </c>
      <c r="D36" s="14">
        <v>2750.500776</v>
      </c>
      <c r="E36" s="14">
        <v>272.028904</v>
      </c>
      <c r="F36" s="14">
        <v>1.853655</v>
      </c>
      <c r="G36" s="14">
        <v>3.465568</v>
      </c>
      <c r="H36" s="14">
        <v>97.188793</v>
      </c>
      <c r="I36" s="14">
        <v>1.0</v>
      </c>
      <c r="J36" s="14">
        <v>0.926147394892228</v>
      </c>
      <c r="K36" s="14">
        <v>1.0</v>
      </c>
      <c r="M36" s="14" t="b">
        <v>1</v>
      </c>
      <c r="N36" s="14">
        <f t="shared" si="4"/>
        <v>0.03625397603</v>
      </c>
    </row>
    <row r="37" ht="15.75" customHeight="1">
      <c r="A37" s="14" t="s">
        <v>18</v>
      </c>
      <c r="B37" s="14" t="s">
        <v>37</v>
      </c>
      <c r="C37" s="14">
        <v>255.645408</v>
      </c>
      <c r="D37" s="14">
        <v>52740.57153</v>
      </c>
      <c r="E37" s="14">
        <v>3483.135392</v>
      </c>
      <c r="F37" s="14">
        <v>9.562722</v>
      </c>
      <c r="G37" s="14">
        <v>27.256711</v>
      </c>
      <c r="H37" s="14">
        <v>253.109708</v>
      </c>
      <c r="I37" s="14">
        <v>1.0</v>
      </c>
      <c r="J37" s="14">
        <v>0.949272359672443</v>
      </c>
      <c r="K37" s="14">
        <v>1.0</v>
      </c>
      <c r="M37" s="14" t="b">
        <v>1</v>
      </c>
      <c r="N37" s="14">
        <f t="shared" si="4"/>
        <v>0.3166252756</v>
      </c>
    </row>
    <row r="38" ht="15.75" customHeight="1">
      <c r="A38" s="13"/>
      <c r="B38" s="13"/>
      <c r="C38" s="13"/>
      <c r="D38" s="13"/>
      <c r="E38" s="13"/>
      <c r="F38" s="13"/>
      <c r="G38" s="13"/>
      <c r="H38" s="13"/>
      <c r="J38" s="13"/>
      <c r="N38" s="13"/>
    </row>
    <row r="39" ht="15.75" customHeight="1">
      <c r="A39" s="13"/>
      <c r="B39" s="13"/>
      <c r="C39" s="13"/>
      <c r="D39" s="13"/>
      <c r="E39" s="13"/>
      <c r="F39" s="13"/>
      <c r="G39" s="13"/>
      <c r="H39" s="13"/>
      <c r="J39" s="13"/>
      <c r="N39" s="13"/>
    </row>
    <row r="40" ht="15.75" customHeight="1">
      <c r="A40" s="13"/>
      <c r="B40" s="13"/>
      <c r="C40" s="13"/>
      <c r="D40" s="13"/>
      <c r="E40" s="13"/>
      <c r="F40" s="13"/>
      <c r="G40" s="13"/>
      <c r="H40" s="13"/>
      <c r="J40" s="13"/>
      <c r="N40" s="13"/>
    </row>
    <row r="41" ht="15.75" customHeight="1">
      <c r="A41" s="13"/>
      <c r="B41" s="13"/>
      <c r="C41" s="13"/>
      <c r="D41" s="13"/>
      <c r="E41" s="13"/>
      <c r="F41" s="13"/>
      <c r="G41" s="13"/>
      <c r="H41" s="13"/>
      <c r="J41" s="13"/>
      <c r="N41" s="13"/>
    </row>
    <row r="42" ht="15.75" customHeight="1">
      <c r="A42" s="13"/>
      <c r="B42" s="13"/>
      <c r="C42" s="13"/>
      <c r="D42" s="13"/>
      <c r="E42" s="13"/>
      <c r="F42" s="13"/>
      <c r="G42" s="13"/>
      <c r="H42" s="13"/>
      <c r="J42" s="13"/>
      <c r="N42" s="13"/>
    </row>
    <row r="43" ht="15.75" customHeight="1">
      <c r="A43" s="13"/>
      <c r="B43" s="13"/>
      <c r="C43" s="13"/>
      <c r="D43" s="13"/>
      <c r="E43" s="13"/>
      <c r="F43" s="13"/>
      <c r="G43" s="13"/>
      <c r="H43" s="13"/>
      <c r="J43" s="13"/>
      <c r="N43" s="13"/>
    </row>
    <row r="44" ht="15.75" customHeight="1">
      <c r="A44" s="13"/>
      <c r="B44" s="13"/>
      <c r="C44" s="13"/>
      <c r="D44" s="13"/>
      <c r="E44" s="13"/>
      <c r="F44" s="13"/>
      <c r="G44" s="13"/>
      <c r="H44" s="13"/>
      <c r="J44" s="13"/>
      <c r="N44" s="13"/>
    </row>
    <row r="45" ht="15.75" customHeight="1">
      <c r="A45" s="13"/>
      <c r="B45" s="13"/>
      <c r="C45" s="13"/>
      <c r="D45" s="13"/>
      <c r="E45" s="13"/>
      <c r="F45" s="13"/>
      <c r="G45" s="13"/>
      <c r="H45" s="13"/>
      <c r="J45" s="13"/>
      <c r="N45" s="13"/>
    </row>
    <row r="46" ht="15.75" customHeight="1">
      <c r="A46" s="13"/>
      <c r="B46" s="13"/>
      <c r="C46" s="13"/>
      <c r="D46" s="13"/>
      <c r="E46" s="13"/>
      <c r="F46" s="13"/>
      <c r="G46" s="13"/>
      <c r="H46" s="13"/>
      <c r="J46" s="13"/>
      <c r="N46" s="13"/>
    </row>
    <row r="47" ht="15.75" customHeight="1">
      <c r="A47" s="13"/>
      <c r="B47" s="13"/>
      <c r="C47" s="13"/>
      <c r="D47" s="13"/>
      <c r="E47" s="13"/>
      <c r="F47" s="13"/>
      <c r="G47" s="13"/>
      <c r="H47" s="13"/>
      <c r="J47" s="13"/>
      <c r="N47" s="13"/>
    </row>
    <row r="48" ht="15.75" customHeight="1">
      <c r="A48" s="13"/>
      <c r="B48" s="13"/>
      <c r="C48" s="13"/>
      <c r="D48" s="13"/>
      <c r="E48" s="13"/>
      <c r="F48" s="13"/>
      <c r="G48" s="13"/>
      <c r="H48" s="13"/>
      <c r="J48" s="13"/>
      <c r="N48" s="13"/>
    </row>
    <row r="49" ht="15.75" customHeight="1">
      <c r="A49" s="13"/>
      <c r="B49" s="13"/>
      <c r="C49" s="13"/>
      <c r="D49" s="13"/>
      <c r="E49" s="13"/>
      <c r="F49" s="13"/>
      <c r="G49" s="13"/>
      <c r="H49" s="13"/>
      <c r="J49" s="13"/>
      <c r="N49" s="13"/>
    </row>
    <row r="50" ht="15.75" customHeight="1">
      <c r="A50" s="13"/>
      <c r="B50" s="13"/>
      <c r="C50" s="13"/>
      <c r="D50" s="13"/>
      <c r="E50" s="13"/>
      <c r="F50" s="13"/>
      <c r="G50" s="13"/>
      <c r="H50" s="13"/>
      <c r="J50" s="13"/>
      <c r="N50" s="13"/>
    </row>
    <row r="51" ht="15.75" customHeight="1">
      <c r="A51" s="13"/>
      <c r="B51" s="13"/>
      <c r="C51" s="13"/>
      <c r="D51" s="13"/>
      <c r="E51" s="13"/>
      <c r="F51" s="13"/>
      <c r="G51" s="13"/>
      <c r="H51" s="13"/>
      <c r="J51" s="13"/>
      <c r="N51" s="13"/>
    </row>
    <row r="52" ht="15.75" customHeight="1">
      <c r="A52" s="13"/>
      <c r="B52" s="13"/>
      <c r="C52" s="13"/>
      <c r="D52" s="13"/>
      <c r="E52" s="13"/>
      <c r="F52" s="13"/>
      <c r="G52" s="13"/>
      <c r="H52" s="13"/>
      <c r="J52" s="13"/>
      <c r="N52" s="13"/>
    </row>
    <row r="53" ht="15.75" customHeight="1">
      <c r="A53" s="13"/>
      <c r="B53" s="13"/>
      <c r="C53" s="13"/>
      <c r="D53" s="13"/>
      <c r="E53" s="13"/>
      <c r="F53" s="13"/>
      <c r="G53" s="13"/>
      <c r="H53" s="13"/>
      <c r="J53" s="13"/>
      <c r="N53" s="13"/>
    </row>
    <row r="54" ht="15.75" customHeight="1">
      <c r="A54" s="13"/>
      <c r="B54" s="13"/>
      <c r="C54" s="13"/>
      <c r="D54" s="13"/>
      <c r="E54" s="13"/>
      <c r="F54" s="13"/>
      <c r="G54" s="13"/>
      <c r="H54" s="13"/>
      <c r="J54" s="13"/>
      <c r="N54" s="13"/>
    </row>
    <row r="55" ht="15.75" customHeight="1">
      <c r="A55" s="13"/>
      <c r="B55" s="13"/>
      <c r="C55" s="13"/>
      <c r="D55" s="13"/>
      <c r="E55" s="13"/>
      <c r="F55" s="13"/>
      <c r="G55" s="13"/>
      <c r="H55" s="13"/>
      <c r="J55" s="13"/>
      <c r="N55" s="13"/>
    </row>
    <row r="56" ht="15.75" customHeight="1">
      <c r="A56" s="13"/>
      <c r="B56" s="13"/>
      <c r="C56" s="13"/>
      <c r="D56" s="13"/>
      <c r="E56" s="13"/>
      <c r="F56" s="13"/>
      <c r="G56" s="13"/>
      <c r="H56" s="13"/>
      <c r="J56" s="13"/>
      <c r="N56" s="13"/>
    </row>
    <row r="57" ht="15.75" customHeight="1">
      <c r="A57" s="13"/>
      <c r="B57" s="13"/>
      <c r="C57" s="13"/>
      <c r="D57" s="13"/>
      <c r="E57" s="13"/>
      <c r="F57" s="13"/>
      <c r="G57" s="13"/>
      <c r="H57" s="13"/>
      <c r="J57" s="13"/>
      <c r="N57" s="13"/>
    </row>
    <row r="58" ht="15.75" customHeight="1">
      <c r="A58" s="13"/>
      <c r="B58" s="13"/>
      <c r="C58" s="13"/>
      <c r="D58" s="13"/>
      <c r="E58" s="13"/>
      <c r="F58" s="13"/>
      <c r="G58" s="13"/>
      <c r="H58" s="13"/>
      <c r="J58" s="13"/>
      <c r="N58" s="13"/>
    </row>
    <row r="59" ht="15.75" customHeight="1">
      <c r="A59" s="13"/>
      <c r="B59" s="13"/>
      <c r="C59" s="13"/>
      <c r="D59" s="13"/>
      <c r="E59" s="13"/>
      <c r="F59" s="13"/>
      <c r="G59" s="13"/>
      <c r="H59" s="13"/>
      <c r="J59" s="13"/>
      <c r="N59" s="13"/>
    </row>
    <row r="60" ht="15.75" customHeight="1">
      <c r="A60" s="13"/>
      <c r="B60" s="13"/>
      <c r="C60" s="13"/>
      <c r="D60" s="13"/>
      <c r="E60" s="13"/>
      <c r="F60" s="13"/>
      <c r="G60" s="13"/>
      <c r="H60" s="13"/>
      <c r="J60" s="13"/>
      <c r="N60" s="13"/>
    </row>
    <row r="61" ht="15.75" customHeight="1">
      <c r="A61" s="13"/>
      <c r="B61" s="13"/>
      <c r="C61" s="13"/>
      <c r="D61" s="13"/>
      <c r="E61" s="13"/>
      <c r="F61" s="13"/>
      <c r="G61" s="13"/>
      <c r="H61" s="13"/>
      <c r="J61" s="13"/>
      <c r="N61" s="13"/>
    </row>
    <row r="62" ht="15.75" customHeight="1">
      <c r="A62" s="13"/>
      <c r="B62" s="13"/>
      <c r="C62" s="13"/>
      <c r="D62" s="13"/>
      <c r="E62" s="13"/>
      <c r="F62" s="13"/>
      <c r="G62" s="13"/>
      <c r="H62" s="13"/>
      <c r="J62" s="13"/>
      <c r="N62" s="13"/>
    </row>
    <row r="63" ht="15.75" customHeight="1">
      <c r="A63" s="13"/>
      <c r="B63" s="13"/>
      <c r="C63" s="13"/>
      <c r="D63" s="13"/>
      <c r="E63" s="13"/>
      <c r="F63" s="13"/>
      <c r="G63" s="13"/>
      <c r="H63" s="13"/>
      <c r="J63" s="13"/>
      <c r="N63" s="13"/>
    </row>
    <row r="64" ht="15.75" customHeight="1">
      <c r="A64" s="13"/>
      <c r="B64" s="13"/>
      <c r="C64" s="13"/>
      <c r="D64" s="13"/>
      <c r="E64" s="13"/>
      <c r="F64" s="13"/>
      <c r="G64" s="13"/>
      <c r="H64" s="13"/>
      <c r="J64" s="13"/>
      <c r="N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J65" s="13"/>
      <c r="N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J66" s="13"/>
      <c r="N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J67" s="13"/>
      <c r="N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J68" s="13"/>
      <c r="N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J69" s="13"/>
      <c r="N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J70" s="13"/>
      <c r="N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J71" s="13"/>
      <c r="N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J72" s="13"/>
      <c r="N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J73" s="13"/>
      <c r="N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J74" s="13"/>
      <c r="N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J75" s="13"/>
      <c r="N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J76" s="13"/>
      <c r="N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J77" s="13"/>
      <c r="N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J78" s="13"/>
      <c r="N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J79" s="13"/>
      <c r="N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J80" s="13"/>
      <c r="N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J81" s="13"/>
      <c r="N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J82" s="13"/>
      <c r="N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J83" s="13"/>
      <c r="N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J84" s="13"/>
      <c r="N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J85" s="13"/>
      <c r="N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J86" s="13"/>
      <c r="N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J87" s="13"/>
      <c r="N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J88" s="13"/>
      <c r="N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J89" s="13"/>
      <c r="N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J90" s="13"/>
      <c r="N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J91" s="13"/>
      <c r="N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J92" s="13"/>
      <c r="N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J93" s="13"/>
      <c r="N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J94" s="13"/>
      <c r="N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J95" s="13"/>
      <c r="N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J96" s="13"/>
      <c r="N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J97" s="13"/>
      <c r="N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J98" s="13"/>
      <c r="N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J99" s="13"/>
      <c r="N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J100" s="13"/>
      <c r="N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J101" s="13"/>
      <c r="N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J102" s="13"/>
      <c r="N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J103" s="13"/>
      <c r="N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J104" s="13"/>
      <c r="N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J105" s="13"/>
      <c r="N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J106" s="13"/>
      <c r="N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J107" s="13"/>
      <c r="N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J108" s="13"/>
      <c r="N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J109" s="13"/>
      <c r="N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J110" s="13"/>
      <c r="N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J111" s="13"/>
      <c r="N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J112" s="13"/>
      <c r="N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J113" s="13"/>
      <c r="N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J114" s="13"/>
      <c r="N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J115" s="13"/>
      <c r="N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J116" s="13"/>
      <c r="N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J117" s="13"/>
      <c r="N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J118" s="13"/>
      <c r="N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J119" s="13"/>
      <c r="N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J120" s="13"/>
      <c r="N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J121" s="13"/>
      <c r="N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J122" s="13"/>
      <c r="N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J123" s="13"/>
      <c r="N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J124" s="13"/>
      <c r="N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J125" s="13"/>
      <c r="N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J126" s="13"/>
      <c r="N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J127" s="13"/>
      <c r="N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J128" s="13"/>
      <c r="N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J129" s="13"/>
      <c r="N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J130" s="13"/>
      <c r="N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J131" s="13"/>
      <c r="N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J132" s="13"/>
      <c r="N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J133" s="13"/>
      <c r="N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J134" s="13"/>
      <c r="N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J135" s="13"/>
      <c r="N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J136" s="13"/>
      <c r="N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J137" s="13"/>
      <c r="N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J138" s="13"/>
      <c r="N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J139" s="13"/>
      <c r="N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J140" s="13"/>
      <c r="N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J141" s="13"/>
      <c r="N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J142" s="13"/>
      <c r="N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J143" s="13"/>
      <c r="N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J144" s="13"/>
      <c r="N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J145" s="13"/>
      <c r="N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J146" s="13"/>
      <c r="N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J147" s="13"/>
      <c r="N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J148" s="13"/>
      <c r="N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J149" s="13"/>
      <c r="N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J150" s="13"/>
      <c r="N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J151" s="13"/>
      <c r="N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J152" s="13"/>
      <c r="N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J153" s="13"/>
      <c r="N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J154" s="13"/>
      <c r="N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J155" s="13"/>
      <c r="N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J156" s="13"/>
      <c r="N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J157" s="13"/>
      <c r="N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J158" s="13"/>
      <c r="N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J159" s="13"/>
      <c r="N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J160" s="13"/>
      <c r="N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J161" s="13"/>
      <c r="N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J162" s="13"/>
      <c r="N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J163" s="13"/>
      <c r="N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J164" s="13"/>
      <c r="N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J165" s="13"/>
      <c r="N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J166" s="13"/>
      <c r="N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J167" s="13"/>
      <c r="N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J168" s="13"/>
      <c r="N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J169" s="13"/>
      <c r="N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J170" s="13"/>
      <c r="N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J171" s="13"/>
      <c r="N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J172" s="13"/>
      <c r="N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J173" s="13"/>
      <c r="N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J174" s="13"/>
      <c r="N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J175" s="13"/>
      <c r="N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J176" s="13"/>
      <c r="N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J177" s="13"/>
      <c r="N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J178" s="13"/>
      <c r="N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J179" s="13"/>
      <c r="N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J180" s="13"/>
      <c r="N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J181" s="13"/>
      <c r="N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J182" s="13"/>
      <c r="N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J183" s="13"/>
      <c r="N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J184" s="13"/>
      <c r="N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J185" s="13"/>
      <c r="N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J186" s="13"/>
      <c r="N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J187" s="13"/>
      <c r="N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J188" s="13"/>
      <c r="N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J189" s="13"/>
      <c r="N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J190" s="13"/>
      <c r="N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J191" s="13"/>
      <c r="N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J192" s="13"/>
      <c r="N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J193" s="13"/>
      <c r="N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J194" s="13"/>
      <c r="N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J195" s="13"/>
      <c r="N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J196" s="13"/>
      <c r="N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J197" s="13"/>
      <c r="N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J198" s="13"/>
      <c r="N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J199" s="13"/>
      <c r="N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J200" s="13"/>
      <c r="N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J201" s="13"/>
      <c r="N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J202" s="13"/>
      <c r="N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J203" s="13"/>
      <c r="N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J204" s="13"/>
      <c r="N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J205" s="13"/>
      <c r="N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J206" s="13"/>
      <c r="N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J207" s="13"/>
      <c r="N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J208" s="13"/>
      <c r="N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J209" s="13"/>
      <c r="N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J210" s="13"/>
      <c r="N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J211" s="13"/>
      <c r="N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J212" s="13"/>
      <c r="N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J213" s="13"/>
      <c r="N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J214" s="13"/>
      <c r="N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J215" s="13"/>
      <c r="N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J216" s="13"/>
      <c r="N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J217" s="13"/>
      <c r="N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J218" s="13"/>
      <c r="N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J219" s="13"/>
      <c r="N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J220" s="13"/>
      <c r="N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J221" s="13"/>
      <c r="N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J222" s="13"/>
      <c r="N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J223" s="13"/>
      <c r="N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J224" s="13"/>
      <c r="N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J225" s="13"/>
      <c r="N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J226" s="13"/>
      <c r="N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J227" s="13"/>
      <c r="N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J228" s="13"/>
      <c r="N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J229" s="13"/>
      <c r="N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J230" s="13"/>
      <c r="N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J231" s="13"/>
      <c r="N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J232" s="13"/>
      <c r="N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J233" s="13"/>
      <c r="N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J234" s="13"/>
      <c r="N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J235" s="13"/>
      <c r="N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J236" s="13"/>
      <c r="N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J237" s="13"/>
      <c r="N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J238" s="13"/>
      <c r="N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J239" s="13"/>
      <c r="N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J240" s="13"/>
      <c r="N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J241" s="13"/>
      <c r="N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J242" s="13"/>
      <c r="N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J243" s="13"/>
      <c r="N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J244" s="13"/>
      <c r="N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J245" s="13"/>
      <c r="N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J246" s="13"/>
      <c r="N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J247" s="13"/>
      <c r="N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J248" s="13"/>
      <c r="N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J249" s="13"/>
      <c r="N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J250" s="13"/>
      <c r="N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J251" s="13"/>
      <c r="N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J252" s="13"/>
      <c r="N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J253" s="13"/>
      <c r="N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J254" s="13"/>
      <c r="N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J255" s="13"/>
      <c r="N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J256" s="13"/>
      <c r="N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J257" s="13"/>
      <c r="N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J258" s="13"/>
      <c r="N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J259" s="13"/>
      <c r="N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J260" s="13"/>
      <c r="N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J261" s="13"/>
      <c r="N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J262" s="13"/>
      <c r="N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J263" s="13"/>
      <c r="N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J264" s="13"/>
      <c r="N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J265" s="13"/>
      <c r="N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J266" s="13"/>
      <c r="N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J267" s="13"/>
      <c r="N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J268" s="13"/>
      <c r="N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J269" s="13"/>
      <c r="N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J270" s="13"/>
      <c r="N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J271" s="13"/>
      <c r="N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J272" s="13"/>
      <c r="N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J273" s="13"/>
      <c r="N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J274" s="13"/>
      <c r="N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J275" s="13"/>
      <c r="N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J276" s="13"/>
      <c r="N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J277" s="13"/>
      <c r="N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J278" s="13"/>
      <c r="N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J279" s="13"/>
      <c r="N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J280" s="13"/>
      <c r="N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J281" s="13"/>
      <c r="N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J282" s="13"/>
      <c r="N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J283" s="13"/>
      <c r="N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J284" s="13"/>
      <c r="N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J285" s="13"/>
      <c r="N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J286" s="13"/>
      <c r="N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J287" s="13"/>
      <c r="N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J288" s="13"/>
      <c r="N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J289" s="13"/>
      <c r="N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J290" s="13"/>
      <c r="N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J291" s="13"/>
      <c r="N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J292" s="13"/>
      <c r="N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J293" s="13"/>
      <c r="N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J294" s="13"/>
      <c r="N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J295" s="13"/>
      <c r="N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J296" s="13"/>
      <c r="N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J297" s="13"/>
      <c r="N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J298" s="13"/>
      <c r="N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J299" s="13"/>
      <c r="N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J300" s="13"/>
      <c r="N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J301" s="13"/>
      <c r="N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J302" s="13"/>
      <c r="N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J303" s="13"/>
      <c r="N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J304" s="13"/>
      <c r="N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J305" s="13"/>
      <c r="N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J306" s="13"/>
      <c r="N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J307" s="13"/>
      <c r="N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J308" s="13"/>
      <c r="N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J309" s="13"/>
      <c r="N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J310" s="13"/>
      <c r="N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J311" s="13"/>
      <c r="N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J312" s="13"/>
      <c r="N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J313" s="13"/>
      <c r="N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J314" s="13"/>
      <c r="N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J315" s="13"/>
      <c r="N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J316" s="13"/>
      <c r="N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J317" s="13"/>
      <c r="N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J318" s="13"/>
      <c r="N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J319" s="13"/>
      <c r="N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J320" s="13"/>
      <c r="N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J321" s="13"/>
      <c r="N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J322" s="13"/>
      <c r="N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J323" s="13"/>
      <c r="N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J324" s="13"/>
      <c r="N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J325" s="13"/>
      <c r="N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J326" s="13"/>
      <c r="N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J327" s="13"/>
      <c r="N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J328" s="13"/>
      <c r="N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J329" s="13"/>
      <c r="N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J330" s="13"/>
      <c r="N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J331" s="13"/>
      <c r="N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J332" s="13"/>
      <c r="N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J333" s="13"/>
      <c r="N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J334" s="13"/>
      <c r="N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J335" s="13"/>
      <c r="N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J336" s="13"/>
      <c r="N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J337" s="13"/>
      <c r="N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J338" s="13"/>
      <c r="N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J339" s="13"/>
      <c r="N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J340" s="13"/>
      <c r="N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J341" s="13"/>
      <c r="N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J342" s="13"/>
      <c r="N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J343" s="13"/>
      <c r="N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J344" s="13"/>
      <c r="N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J345" s="13"/>
      <c r="N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J346" s="13"/>
      <c r="N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J347" s="13"/>
      <c r="N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J348" s="13"/>
      <c r="N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J349" s="13"/>
      <c r="N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J350" s="13"/>
      <c r="N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J351" s="13"/>
      <c r="N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J352" s="13"/>
      <c r="N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J353" s="13"/>
      <c r="N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J354" s="13"/>
      <c r="N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J355" s="13"/>
      <c r="N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J356" s="13"/>
      <c r="N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J357" s="13"/>
      <c r="N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J358" s="13"/>
      <c r="N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J359" s="13"/>
      <c r="N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J360" s="13"/>
      <c r="N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J361" s="13"/>
      <c r="N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J362" s="13"/>
      <c r="N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J363" s="13"/>
      <c r="N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J364" s="13"/>
      <c r="N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J365" s="13"/>
      <c r="N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J366" s="13"/>
      <c r="N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J367" s="13"/>
      <c r="N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J368" s="13"/>
      <c r="N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J369" s="13"/>
      <c r="N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J370" s="13"/>
      <c r="N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J371" s="13"/>
      <c r="N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J372" s="13"/>
      <c r="N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J373" s="13"/>
      <c r="N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J374" s="13"/>
      <c r="N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J375" s="13"/>
      <c r="N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J376" s="13"/>
      <c r="N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J377" s="13"/>
      <c r="N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J378" s="13"/>
      <c r="N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J379" s="13"/>
      <c r="N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J380" s="13"/>
      <c r="N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J381" s="13"/>
      <c r="N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J382" s="13"/>
      <c r="N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J383" s="13"/>
      <c r="N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J384" s="13"/>
      <c r="N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J385" s="13"/>
      <c r="N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J386" s="13"/>
      <c r="N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J387" s="13"/>
      <c r="N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J388" s="13"/>
      <c r="N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J389" s="13"/>
      <c r="N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J390" s="13"/>
      <c r="N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J391" s="13"/>
      <c r="N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J392" s="13"/>
      <c r="N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J393" s="13"/>
      <c r="N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J394" s="13"/>
      <c r="N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J395" s="13"/>
      <c r="N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J396" s="13"/>
      <c r="N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J397" s="13"/>
      <c r="N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J398" s="13"/>
      <c r="N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J399" s="13"/>
      <c r="N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J400" s="13"/>
      <c r="N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J401" s="13"/>
      <c r="N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J402" s="13"/>
      <c r="N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J403" s="13"/>
      <c r="N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J404" s="13"/>
      <c r="N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J405" s="13"/>
      <c r="N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J406" s="13"/>
      <c r="N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J407" s="13"/>
      <c r="N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J408" s="13"/>
      <c r="N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J409" s="13"/>
      <c r="N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J410" s="13"/>
      <c r="N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J411" s="13"/>
      <c r="N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J412" s="13"/>
      <c r="N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J413" s="13"/>
      <c r="N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J414" s="13"/>
      <c r="N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J415" s="13"/>
      <c r="N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J416" s="13"/>
      <c r="N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J417" s="13"/>
      <c r="N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J418" s="13"/>
      <c r="N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J419" s="13"/>
      <c r="N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J420" s="13"/>
      <c r="N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J421" s="13"/>
      <c r="N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J422" s="13"/>
      <c r="N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J423" s="13"/>
      <c r="N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J424" s="13"/>
      <c r="N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J425" s="13"/>
      <c r="N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J426" s="13"/>
      <c r="N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J427" s="13"/>
      <c r="N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J428" s="13"/>
      <c r="N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J429" s="13"/>
      <c r="N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J430" s="13"/>
      <c r="N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J431" s="13"/>
      <c r="N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J432" s="13"/>
      <c r="N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J433" s="13"/>
      <c r="N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J434" s="13"/>
      <c r="N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J435" s="13"/>
      <c r="N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J436" s="13"/>
      <c r="N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J437" s="13"/>
      <c r="N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J438" s="13"/>
      <c r="N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J439" s="13"/>
      <c r="N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J440" s="13"/>
      <c r="N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J441" s="13"/>
      <c r="N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J442" s="13"/>
      <c r="N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J443" s="13"/>
      <c r="N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J444" s="13"/>
      <c r="N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J445" s="13"/>
      <c r="N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J446" s="13"/>
      <c r="N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J447" s="13"/>
      <c r="N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J448" s="13"/>
      <c r="N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J449" s="13"/>
      <c r="N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J450" s="13"/>
      <c r="N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J451" s="13"/>
      <c r="N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J452" s="13"/>
      <c r="N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J453" s="13"/>
      <c r="N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J454" s="13"/>
      <c r="N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J455" s="13"/>
      <c r="N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J456" s="13"/>
      <c r="N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J457" s="13"/>
      <c r="N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J458" s="13"/>
      <c r="N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J459" s="13"/>
      <c r="N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J460" s="13"/>
      <c r="N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J461" s="13"/>
      <c r="N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J462" s="13"/>
      <c r="N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J463" s="13"/>
      <c r="N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J464" s="13"/>
      <c r="N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J465" s="13"/>
      <c r="N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J466" s="13"/>
      <c r="N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J467" s="13"/>
      <c r="N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J468" s="13"/>
      <c r="N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J469" s="13"/>
      <c r="N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J470" s="13"/>
      <c r="N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J471" s="13"/>
      <c r="N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J472" s="13"/>
      <c r="N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J473" s="13"/>
      <c r="N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J474" s="13"/>
      <c r="N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J475" s="13"/>
      <c r="N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J476" s="13"/>
      <c r="N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J477" s="13"/>
      <c r="N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J478" s="13"/>
      <c r="N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J479" s="13"/>
      <c r="N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J480" s="13"/>
      <c r="N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J481" s="13"/>
      <c r="N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J482" s="13"/>
      <c r="N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J483" s="13"/>
      <c r="N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J484" s="13"/>
      <c r="N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J485" s="13"/>
      <c r="N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J486" s="13"/>
      <c r="N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J487" s="13"/>
      <c r="N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J488" s="13"/>
      <c r="N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J489" s="13"/>
      <c r="N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J490" s="13"/>
      <c r="N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J491" s="13"/>
      <c r="N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J492" s="13"/>
      <c r="N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J493" s="13"/>
      <c r="N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J494" s="13"/>
      <c r="N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J495" s="13"/>
      <c r="N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J496" s="13"/>
      <c r="N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J497" s="13"/>
      <c r="N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J498" s="13"/>
      <c r="N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J499" s="13"/>
      <c r="N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J500" s="13"/>
      <c r="N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J501" s="13"/>
      <c r="N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J502" s="13"/>
      <c r="N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J503" s="13"/>
      <c r="N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J504" s="13"/>
      <c r="N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J505" s="13"/>
      <c r="N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J506" s="13"/>
      <c r="N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J507" s="13"/>
      <c r="N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J508" s="13"/>
      <c r="N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J509" s="13"/>
      <c r="N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J510" s="13"/>
      <c r="N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J511" s="13"/>
      <c r="N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J512" s="13"/>
      <c r="N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J513" s="13"/>
      <c r="N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J514" s="13"/>
      <c r="N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J515" s="13"/>
      <c r="N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J516" s="13"/>
      <c r="N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J517" s="13"/>
      <c r="N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J518" s="13"/>
      <c r="N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J519" s="13"/>
      <c r="N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J520" s="13"/>
      <c r="N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J521" s="13"/>
      <c r="N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J522" s="13"/>
      <c r="N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J523" s="13"/>
      <c r="N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J524" s="13"/>
      <c r="N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J525" s="13"/>
      <c r="N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J526" s="13"/>
      <c r="N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J527" s="13"/>
      <c r="N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J528" s="13"/>
      <c r="N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J529" s="13"/>
      <c r="N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J530" s="13"/>
      <c r="N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J531" s="13"/>
      <c r="N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J532" s="13"/>
      <c r="N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J533" s="13"/>
      <c r="N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J534" s="13"/>
      <c r="N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J535" s="13"/>
      <c r="N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J536" s="13"/>
      <c r="N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J537" s="13"/>
      <c r="N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J538" s="13"/>
      <c r="N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J539" s="13"/>
      <c r="N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J540" s="13"/>
      <c r="N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J541" s="13"/>
      <c r="N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J542" s="13"/>
      <c r="N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J543" s="13"/>
      <c r="N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J544" s="13"/>
      <c r="N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J545" s="13"/>
      <c r="N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J546" s="13"/>
      <c r="N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J547" s="13"/>
      <c r="N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J548" s="13"/>
      <c r="N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J549" s="13"/>
      <c r="N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J550" s="13"/>
      <c r="N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J551" s="13"/>
      <c r="N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J552" s="13"/>
      <c r="N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J553" s="13"/>
      <c r="N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J554" s="13"/>
      <c r="N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J555" s="13"/>
      <c r="N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J556" s="13"/>
      <c r="N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J557" s="13"/>
      <c r="N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J558" s="13"/>
      <c r="N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J559" s="13"/>
      <c r="N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J560" s="13"/>
      <c r="N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J561" s="13"/>
      <c r="N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J562" s="13"/>
      <c r="N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J563" s="13"/>
      <c r="N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J564" s="13"/>
      <c r="N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J565" s="13"/>
      <c r="N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J566" s="13"/>
      <c r="N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J567" s="13"/>
      <c r="N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J568" s="13"/>
      <c r="N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J569" s="13"/>
      <c r="N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J570" s="13"/>
      <c r="N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J571" s="13"/>
      <c r="N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J572" s="13"/>
      <c r="N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J573" s="13"/>
      <c r="N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J574" s="13"/>
      <c r="N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J575" s="13"/>
      <c r="N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J576" s="13"/>
      <c r="N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J577" s="13"/>
      <c r="N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J578" s="13"/>
      <c r="N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J579" s="13"/>
      <c r="N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J580" s="13"/>
      <c r="N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J581" s="13"/>
      <c r="N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J582" s="13"/>
      <c r="N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J583" s="13"/>
      <c r="N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J584" s="13"/>
      <c r="N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J585" s="13"/>
      <c r="N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J586" s="13"/>
      <c r="N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J587" s="13"/>
      <c r="N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J588" s="13"/>
      <c r="N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J589" s="13"/>
      <c r="N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J590" s="13"/>
      <c r="N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J591" s="13"/>
      <c r="N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J592" s="13"/>
      <c r="N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J593" s="13"/>
      <c r="N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J594" s="13"/>
      <c r="N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J595" s="13"/>
      <c r="N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J596" s="13"/>
      <c r="N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J597" s="13"/>
      <c r="N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J598" s="13"/>
      <c r="N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J599" s="13"/>
      <c r="N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J600" s="13"/>
      <c r="N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J601" s="13"/>
      <c r="N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J602" s="13"/>
      <c r="N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J603" s="13"/>
      <c r="N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J604" s="13"/>
      <c r="N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J605" s="13"/>
      <c r="N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J606" s="13"/>
      <c r="N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J607" s="13"/>
      <c r="N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J608" s="13"/>
      <c r="N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J609" s="13"/>
      <c r="N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J610" s="13"/>
      <c r="N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J611" s="13"/>
      <c r="N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J612" s="13"/>
      <c r="N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J613" s="13"/>
      <c r="N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J614" s="13"/>
      <c r="N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J615" s="13"/>
      <c r="N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J616" s="13"/>
      <c r="N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J617" s="13"/>
      <c r="N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J618" s="13"/>
      <c r="N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J619" s="13"/>
      <c r="N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J620" s="13"/>
      <c r="N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J621" s="13"/>
      <c r="N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J622" s="13"/>
      <c r="N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J623" s="13"/>
      <c r="N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J624" s="13"/>
      <c r="N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J625" s="13"/>
      <c r="N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J626" s="13"/>
      <c r="N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J627" s="13"/>
      <c r="N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J628" s="13"/>
      <c r="N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J629" s="13"/>
      <c r="N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J630" s="13"/>
      <c r="N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J631" s="13"/>
      <c r="N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J632" s="13"/>
      <c r="N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J633" s="13"/>
      <c r="N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J634" s="13"/>
      <c r="N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J635" s="13"/>
      <c r="N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J636" s="13"/>
      <c r="N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J637" s="13"/>
      <c r="N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J638" s="13"/>
      <c r="N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J639" s="13"/>
      <c r="N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J640" s="13"/>
      <c r="N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J641" s="13"/>
      <c r="N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J642" s="13"/>
      <c r="N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J643" s="13"/>
      <c r="N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J644" s="13"/>
      <c r="N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J645" s="13"/>
      <c r="N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J646" s="13"/>
      <c r="N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J647" s="13"/>
      <c r="N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J648" s="13"/>
      <c r="N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J649" s="13"/>
      <c r="N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J650" s="13"/>
      <c r="N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J651" s="13"/>
      <c r="N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J652" s="13"/>
      <c r="N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J653" s="13"/>
      <c r="N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J654" s="13"/>
      <c r="N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J655" s="13"/>
      <c r="N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J656" s="13"/>
      <c r="N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J657" s="13"/>
      <c r="N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J658" s="13"/>
      <c r="N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J659" s="13"/>
      <c r="N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J660" s="13"/>
      <c r="N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J661" s="13"/>
      <c r="N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J662" s="13"/>
      <c r="N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J663" s="13"/>
      <c r="N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J664" s="13"/>
      <c r="N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J665" s="13"/>
      <c r="N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J666" s="13"/>
      <c r="N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J667" s="13"/>
      <c r="N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J668" s="13"/>
      <c r="N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J669" s="13"/>
      <c r="N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J670" s="13"/>
      <c r="N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J671" s="13"/>
      <c r="N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J672" s="13"/>
      <c r="N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J673" s="13"/>
      <c r="N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J674" s="13"/>
      <c r="N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J675" s="13"/>
      <c r="N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J676" s="13"/>
      <c r="N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J677" s="13"/>
      <c r="N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J678" s="13"/>
      <c r="N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J679" s="13"/>
      <c r="N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J680" s="13"/>
      <c r="N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J681" s="13"/>
      <c r="N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J682" s="13"/>
      <c r="N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J683" s="13"/>
      <c r="N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J684" s="13"/>
      <c r="N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J685" s="13"/>
      <c r="N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J686" s="13"/>
      <c r="N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J687" s="13"/>
      <c r="N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J688" s="13"/>
      <c r="N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J689" s="13"/>
      <c r="N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J690" s="13"/>
      <c r="N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J691" s="13"/>
      <c r="N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J692" s="13"/>
      <c r="N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J693" s="13"/>
      <c r="N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J694" s="13"/>
      <c r="N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J695" s="13"/>
      <c r="N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J696" s="13"/>
      <c r="N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J697" s="13"/>
      <c r="N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J698" s="13"/>
      <c r="N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J699" s="13"/>
      <c r="N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J700" s="13"/>
      <c r="N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J701" s="13"/>
      <c r="N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J702" s="13"/>
      <c r="N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J703" s="13"/>
      <c r="N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J704" s="13"/>
      <c r="N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J705" s="13"/>
      <c r="N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J706" s="13"/>
      <c r="N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J707" s="13"/>
      <c r="N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J708" s="13"/>
      <c r="N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J709" s="13"/>
      <c r="N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J710" s="13"/>
      <c r="N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J711" s="13"/>
      <c r="N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J712" s="13"/>
      <c r="N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J713" s="13"/>
      <c r="N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J714" s="13"/>
      <c r="N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J715" s="13"/>
      <c r="N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J716" s="13"/>
      <c r="N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J717" s="13"/>
      <c r="N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J718" s="13"/>
      <c r="N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J719" s="13"/>
      <c r="N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J720" s="13"/>
      <c r="N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J721" s="13"/>
      <c r="N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J722" s="13"/>
      <c r="N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J723" s="13"/>
      <c r="N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J724" s="13"/>
      <c r="N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J725" s="13"/>
      <c r="N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J726" s="13"/>
      <c r="N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J727" s="13"/>
      <c r="N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J728" s="13"/>
      <c r="N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J729" s="13"/>
      <c r="N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J730" s="13"/>
      <c r="N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J731" s="13"/>
      <c r="N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J732" s="13"/>
      <c r="N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J733" s="13"/>
      <c r="N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J734" s="13"/>
      <c r="N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J735" s="13"/>
      <c r="N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J736" s="13"/>
      <c r="N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J737" s="13"/>
      <c r="N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J738" s="13"/>
      <c r="N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J739" s="13"/>
      <c r="N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J740" s="13"/>
      <c r="N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J741" s="13"/>
      <c r="N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J742" s="13"/>
      <c r="N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J743" s="13"/>
      <c r="N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J744" s="13"/>
      <c r="N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J745" s="13"/>
      <c r="N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J746" s="13"/>
      <c r="N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J747" s="13"/>
      <c r="N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J748" s="13"/>
      <c r="N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J749" s="13"/>
      <c r="N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J750" s="13"/>
      <c r="N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J751" s="13"/>
      <c r="N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J752" s="13"/>
      <c r="N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J753" s="13"/>
      <c r="N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J754" s="13"/>
      <c r="N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J755" s="13"/>
      <c r="N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J756" s="13"/>
      <c r="N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J757" s="13"/>
      <c r="N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J758" s="13"/>
      <c r="N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J759" s="13"/>
      <c r="N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J760" s="13"/>
      <c r="N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J761" s="13"/>
      <c r="N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J762" s="13"/>
      <c r="N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J763" s="13"/>
      <c r="N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J764" s="13"/>
      <c r="N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J765" s="13"/>
      <c r="N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J766" s="13"/>
      <c r="N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J767" s="13"/>
      <c r="N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J768" s="13"/>
      <c r="N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J769" s="13"/>
      <c r="N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J770" s="13"/>
      <c r="N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J771" s="13"/>
      <c r="N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J772" s="13"/>
      <c r="N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J773" s="13"/>
      <c r="N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J774" s="13"/>
      <c r="N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J775" s="13"/>
      <c r="N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J776" s="13"/>
      <c r="N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J777" s="13"/>
      <c r="N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J778" s="13"/>
      <c r="N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J779" s="13"/>
      <c r="N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J780" s="13"/>
      <c r="N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J781" s="13"/>
      <c r="N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J782" s="13"/>
      <c r="N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J783" s="13"/>
      <c r="N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J784" s="13"/>
      <c r="N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J785" s="13"/>
      <c r="N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J786" s="13"/>
      <c r="N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J787" s="13"/>
      <c r="N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J788" s="13"/>
      <c r="N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J789" s="13"/>
      <c r="N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J790" s="13"/>
      <c r="N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J791" s="13"/>
      <c r="N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J792" s="13"/>
      <c r="N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J793" s="13"/>
      <c r="N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J794" s="13"/>
      <c r="N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J795" s="13"/>
      <c r="N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J796" s="13"/>
      <c r="N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J797" s="13"/>
      <c r="N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J798" s="13"/>
      <c r="N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J799" s="13"/>
      <c r="N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J800" s="13"/>
      <c r="N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J801" s="13"/>
      <c r="N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J802" s="13"/>
      <c r="N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J803" s="13"/>
      <c r="N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J804" s="13"/>
      <c r="N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J805" s="13"/>
      <c r="N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J806" s="13"/>
      <c r="N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J807" s="13"/>
      <c r="N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J808" s="13"/>
      <c r="N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J809" s="13"/>
      <c r="N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J810" s="13"/>
      <c r="N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J811" s="13"/>
      <c r="N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J812" s="13"/>
      <c r="N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J813" s="13"/>
      <c r="N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J814" s="13"/>
      <c r="N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J815" s="13"/>
      <c r="N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J816" s="13"/>
      <c r="N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J817" s="13"/>
      <c r="N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J818" s="13"/>
      <c r="N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J819" s="13"/>
      <c r="N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J820" s="13"/>
      <c r="N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J821" s="13"/>
      <c r="N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J822" s="13"/>
      <c r="N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J823" s="13"/>
      <c r="N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J824" s="13"/>
      <c r="N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J825" s="13"/>
      <c r="N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J826" s="13"/>
      <c r="N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J827" s="13"/>
      <c r="N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J828" s="13"/>
      <c r="N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J829" s="13"/>
      <c r="N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J830" s="13"/>
      <c r="N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J831" s="13"/>
      <c r="N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J832" s="13"/>
      <c r="N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J833" s="13"/>
      <c r="N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J834" s="13"/>
      <c r="N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J835" s="13"/>
      <c r="N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J836" s="13"/>
      <c r="N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J837" s="13"/>
      <c r="N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J838" s="13"/>
      <c r="N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J839" s="13"/>
      <c r="N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J840" s="13"/>
      <c r="N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J841" s="13"/>
      <c r="N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J842" s="13"/>
      <c r="N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J843" s="13"/>
      <c r="N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J844" s="13"/>
      <c r="N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J845" s="13"/>
      <c r="N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J846" s="13"/>
      <c r="N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J847" s="13"/>
      <c r="N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J848" s="13"/>
      <c r="N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J849" s="13"/>
      <c r="N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J850" s="13"/>
      <c r="N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J851" s="13"/>
      <c r="N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J852" s="13"/>
      <c r="N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J853" s="13"/>
      <c r="N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J854" s="13"/>
      <c r="N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J855" s="13"/>
      <c r="N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J856" s="13"/>
      <c r="N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J857" s="13"/>
      <c r="N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J858" s="13"/>
      <c r="N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J859" s="13"/>
      <c r="N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J860" s="13"/>
      <c r="N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J861" s="13"/>
      <c r="N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J862" s="13"/>
      <c r="N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J863" s="13"/>
      <c r="N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J864" s="13"/>
      <c r="N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J865" s="13"/>
      <c r="N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J866" s="13"/>
      <c r="N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J867" s="13"/>
      <c r="N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J868" s="13"/>
      <c r="N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J869" s="13"/>
      <c r="N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J870" s="13"/>
      <c r="N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J871" s="13"/>
      <c r="N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J872" s="13"/>
      <c r="N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J873" s="13"/>
      <c r="N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J874" s="13"/>
      <c r="N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J875" s="13"/>
      <c r="N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J876" s="13"/>
      <c r="N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J877" s="13"/>
      <c r="N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J878" s="13"/>
      <c r="N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J879" s="13"/>
      <c r="N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J880" s="13"/>
      <c r="N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J881" s="13"/>
      <c r="N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J882" s="13"/>
      <c r="N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J883" s="13"/>
      <c r="N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J884" s="13"/>
      <c r="N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J885" s="13"/>
      <c r="N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J886" s="13"/>
      <c r="N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J887" s="13"/>
      <c r="N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J888" s="13"/>
      <c r="N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J889" s="13"/>
      <c r="N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J890" s="13"/>
      <c r="N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J891" s="13"/>
      <c r="N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J892" s="13"/>
      <c r="N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J893" s="13"/>
      <c r="N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J894" s="13"/>
      <c r="N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J895" s="13"/>
      <c r="N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J896" s="13"/>
      <c r="N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J897" s="13"/>
      <c r="N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J898" s="13"/>
      <c r="N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J899" s="13"/>
      <c r="N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J900" s="13"/>
      <c r="N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J901" s="13"/>
      <c r="N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J902" s="13"/>
      <c r="N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J903" s="13"/>
      <c r="N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J904" s="13"/>
      <c r="N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J905" s="13"/>
      <c r="N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J906" s="13"/>
      <c r="N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J907" s="13"/>
      <c r="N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J908" s="13"/>
      <c r="N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J909" s="13"/>
      <c r="N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J910" s="13"/>
      <c r="N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J911" s="13"/>
      <c r="N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J912" s="13"/>
      <c r="N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J913" s="13"/>
      <c r="N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J914" s="13"/>
      <c r="N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J915" s="13"/>
      <c r="N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J916" s="13"/>
      <c r="N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J917" s="13"/>
      <c r="N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J918" s="13"/>
      <c r="N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J919" s="13"/>
      <c r="N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J920" s="13"/>
      <c r="N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J921" s="13"/>
      <c r="N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J922" s="13"/>
      <c r="N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J923" s="13"/>
      <c r="N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J924" s="13"/>
      <c r="N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J925" s="13"/>
      <c r="N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J926" s="13"/>
      <c r="N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J927" s="13"/>
      <c r="N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J928" s="13"/>
      <c r="N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J929" s="13"/>
      <c r="N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J930" s="13"/>
      <c r="N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J931" s="13"/>
      <c r="N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J932" s="13"/>
      <c r="N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J933" s="13"/>
      <c r="N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J934" s="13"/>
      <c r="N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J935" s="13"/>
      <c r="N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J936" s="13"/>
      <c r="N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J937" s="13"/>
      <c r="N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J938" s="13"/>
      <c r="N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J939" s="13"/>
      <c r="N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J940" s="13"/>
      <c r="N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J941" s="13"/>
      <c r="N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J942" s="13"/>
      <c r="N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J943" s="13"/>
      <c r="N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J944" s="13"/>
      <c r="N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J945" s="13"/>
      <c r="N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J946" s="13"/>
      <c r="N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J947" s="13"/>
      <c r="N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J948" s="13"/>
      <c r="N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J949" s="13"/>
      <c r="N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J950" s="13"/>
      <c r="N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J951" s="13"/>
      <c r="N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J952" s="13"/>
      <c r="N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J953" s="13"/>
      <c r="N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J954" s="13"/>
      <c r="N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J955" s="13"/>
      <c r="N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J956" s="13"/>
      <c r="N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J957" s="13"/>
      <c r="N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J958" s="13"/>
      <c r="N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J959" s="13"/>
      <c r="N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J960" s="13"/>
      <c r="N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J961" s="13"/>
      <c r="N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J962" s="13"/>
      <c r="N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J963" s="13"/>
      <c r="N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J964" s="13"/>
      <c r="N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J965" s="13"/>
      <c r="N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J966" s="13"/>
      <c r="N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J967" s="13"/>
      <c r="N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J968" s="13"/>
      <c r="N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J969" s="13"/>
      <c r="N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J970" s="13"/>
      <c r="N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J971" s="13"/>
      <c r="N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J972" s="13"/>
      <c r="N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J973" s="13"/>
      <c r="N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J974" s="13"/>
      <c r="N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J975" s="13"/>
      <c r="N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J976" s="13"/>
      <c r="N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J977" s="13"/>
      <c r="N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J978" s="13"/>
      <c r="N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J979" s="13"/>
      <c r="N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J980" s="13"/>
      <c r="N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J981" s="13"/>
      <c r="N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J982" s="13"/>
      <c r="N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J983" s="13"/>
      <c r="N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J984" s="13"/>
      <c r="N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J985" s="13"/>
      <c r="N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J986" s="13"/>
      <c r="N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J987" s="13"/>
      <c r="N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J988" s="13"/>
      <c r="N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J989" s="13"/>
      <c r="N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J990" s="13"/>
      <c r="N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J991" s="13"/>
      <c r="N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J992" s="13"/>
      <c r="N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J993" s="13"/>
      <c r="N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J994" s="13"/>
      <c r="N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J995" s="13"/>
      <c r="N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J996" s="13"/>
      <c r="N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J997" s="13"/>
      <c r="N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J998" s="13"/>
      <c r="N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J999" s="13"/>
      <c r="N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J1000" s="13"/>
      <c r="N1000" s="13"/>
    </row>
  </sheetData>
  <conditionalFormatting sqref="M1:M1000">
    <cfRule type="containsText" dxfId="0" priority="1" operator="containsText" text="TRUE">
      <formula>NOT(ISERROR(SEARCH(("TRUE"),(M1))))</formula>
    </cfRule>
  </conditionalFormatting>
  <conditionalFormatting sqref="M1:M1000">
    <cfRule type="containsText" dxfId="1" priority="2" operator="containsText" text="FALSE">
      <formula>NOT(ISERROR(SEARCH(("FALSE"),(M1))))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5.5"/>
    <col customWidth="1" min="4" max="4" width="12.63"/>
    <col customWidth="1" min="5" max="5" width="14.75"/>
    <col customWidth="1" min="6" max="6" width="13.75"/>
    <col customWidth="1" min="7" max="7" width="9.5"/>
    <col customWidth="1" min="8" max="8" width="10.5"/>
    <col customWidth="1" min="9" max="9" width="13.0"/>
    <col customWidth="1" min="10" max="10" width="9.88"/>
  </cols>
  <sheetData>
    <row r="1" ht="15.75" customHeight="1">
      <c r="A1" s="15" t="s">
        <v>0</v>
      </c>
      <c r="B1" s="15" t="s">
        <v>20</v>
      </c>
      <c r="C1" s="15" t="s">
        <v>21</v>
      </c>
      <c r="D1" s="15" t="s">
        <v>22</v>
      </c>
      <c r="E1" s="15" t="s">
        <v>23</v>
      </c>
      <c r="F1" s="15" t="s">
        <v>24</v>
      </c>
      <c r="G1" s="15" t="s">
        <v>25</v>
      </c>
      <c r="H1" s="15" t="s">
        <v>26</v>
      </c>
      <c r="I1" s="15" t="s">
        <v>27</v>
      </c>
      <c r="J1" s="15" t="s">
        <v>28</v>
      </c>
      <c r="K1" s="15" t="s">
        <v>78</v>
      </c>
      <c r="L1" s="15"/>
      <c r="M1" s="15" t="s">
        <v>31</v>
      </c>
      <c r="N1" s="15" t="s">
        <v>79</v>
      </c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2" ht="15.75" customHeight="1">
      <c r="A2" s="14" t="s">
        <v>13</v>
      </c>
      <c r="B2" s="14" t="s">
        <v>32</v>
      </c>
      <c r="C2" s="14">
        <v>3.907448</v>
      </c>
      <c r="D2" s="14">
        <v>2355.452748</v>
      </c>
      <c r="E2" s="14">
        <v>128.322978</v>
      </c>
      <c r="F2" s="14">
        <v>3.829008</v>
      </c>
      <c r="G2" s="14">
        <v>1.265648</v>
      </c>
      <c r="H2" s="14">
        <v>23.333687</v>
      </c>
      <c r="I2" s="14">
        <v>1.0</v>
      </c>
      <c r="J2" s="14">
        <v>0.853946068466128</v>
      </c>
      <c r="K2" s="14">
        <v>1.0</v>
      </c>
      <c r="L2" s="14"/>
      <c r="M2" s="14" t="b">
        <v>1</v>
      </c>
      <c r="N2" s="14">
        <f t="shared" ref="N2:N10" si="1">J2-J20</f>
        <v>0.007883288698</v>
      </c>
    </row>
    <row r="3" ht="15.75" customHeight="1">
      <c r="A3" s="14" t="s">
        <v>13</v>
      </c>
      <c r="B3" s="14" t="s">
        <v>34</v>
      </c>
      <c r="C3" s="14">
        <v>4.520128</v>
      </c>
      <c r="D3" s="14">
        <v>1459.004101</v>
      </c>
      <c r="E3" s="14">
        <v>55.797116</v>
      </c>
      <c r="F3" s="14">
        <v>7.38391</v>
      </c>
      <c r="G3" s="14">
        <v>1.77591</v>
      </c>
      <c r="H3" s="14">
        <v>50.607364</v>
      </c>
      <c r="I3" s="14">
        <v>1.0</v>
      </c>
      <c r="J3" s="14">
        <v>0.906424211711711</v>
      </c>
      <c r="K3" s="14">
        <v>0.837</v>
      </c>
      <c r="L3" s="14"/>
      <c r="M3" s="14" t="b">
        <v>0</v>
      </c>
      <c r="N3" s="14">
        <f t="shared" si="1"/>
        <v>-0.07605585586</v>
      </c>
    </row>
    <row r="4" ht="15.75" customHeight="1">
      <c r="A4" s="14" t="s">
        <v>13</v>
      </c>
      <c r="B4" s="14" t="s">
        <v>35</v>
      </c>
      <c r="C4" s="14">
        <v>98.165608</v>
      </c>
      <c r="D4" s="14">
        <v>123100.891943</v>
      </c>
      <c r="E4" s="14">
        <v>3570.993647</v>
      </c>
      <c r="F4" s="14">
        <v>73.362062</v>
      </c>
      <c r="G4" s="14">
        <v>27.308101</v>
      </c>
      <c r="H4" s="14">
        <v>377.653842</v>
      </c>
      <c r="I4" s="14">
        <v>1.0</v>
      </c>
      <c r="J4" s="14">
        <v>0.892765064511859</v>
      </c>
      <c r="K4" s="14">
        <v>0.98</v>
      </c>
      <c r="L4" s="14"/>
      <c r="M4" s="14" t="b">
        <v>1</v>
      </c>
      <c r="N4" s="14">
        <f t="shared" si="1"/>
        <v>0.003349796594</v>
      </c>
    </row>
    <row r="5" ht="15.75" customHeight="1">
      <c r="A5" s="14" t="s">
        <v>13</v>
      </c>
      <c r="B5" s="14" t="s">
        <v>36</v>
      </c>
      <c r="C5" s="14">
        <v>3.200128</v>
      </c>
      <c r="D5" s="14">
        <v>1011.091491</v>
      </c>
      <c r="E5" s="14">
        <v>32.620992</v>
      </c>
      <c r="F5" s="14">
        <v>4.28541</v>
      </c>
      <c r="G5" s="14">
        <v>0.912788</v>
      </c>
      <c r="H5" s="14">
        <v>27.223207</v>
      </c>
      <c r="I5" s="14">
        <v>1.0</v>
      </c>
      <c r="J5" s="14">
        <v>0.919079311609316</v>
      </c>
      <c r="K5" s="14">
        <v>0.735</v>
      </c>
      <c r="L5" s="14"/>
      <c r="M5" s="14" t="b">
        <v>0</v>
      </c>
      <c r="N5" s="14">
        <f t="shared" si="1"/>
        <v>-0.04910859654</v>
      </c>
    </row>
    <row r="6" ht="15.75" customHeight="1">
      <c r="A6" s="14" t="s">
        <v>13</v>
      </c>
      <c r="B6" s="14" t="s">
        <v>38</v>
      </c>
      <c r="C6" s="14">
        <v>0.200128</v>
      </c>
      <c r="D6" s="14">
        <v>154.210068</v>
      </c>
      <c r="E6" s="14">
        <v>16.027361</v>
      </c>
      <c r="F6" s="14">
        <v>5.170028</v>
      </c>
      <c r="G6" s="14">
        <v>0.686612</v>
      </c>
      <c r="H6" s="14">
        <v>20.186295</v>
      </c>
      <c r="I6" s="14">
        <v>1.0</v>
      </c>
      <c r="J6" s="14">
        <v>0.699176500146671</v>
      </c>
      <c r="K6" s="14">
        <v>1.0</v>
      </c>
      <c r="L6" s="14"/>
      <c r="M6" s="14" t="b">
        <v>1</v>
      </c>
      <c r="N6" s="14">
        <f t="shared" si="1"/>
        <v>0.002450737105</v>
      </c>
    </row>
    <row r="7" ht="15.75" customHeight="1">
      <c r="A7" s="14" t="s">
        <v>13</v>
      </c>
      <c r="B7" s="14" t="s">
        <v>39</v>
      </c>
      <c r="C7" s="14">
        <v>3.340128</v>
      </c>
      <c r="D7" s="14">
        <v>1237.146344</v>
      </c>
      <c r="E7" s="14">
        <v>46.763137</v>
      </c>
      <c r="F7" s="14">
        <v>5.616041</v>
      </c>
      <c r="G7" s="14">
        <v>1.288586</v>
      </c>
      <c r="H7" s="14">
        <v>33.256147</v>
      </c>
      <c r="I7" s="14">
        <v>1.0</v>
      </c>
      <c r="J7" s="14">
        <v>0.887506720995004</v>
      </c>
      <c r="K7" s="14">
        <v>0.938</v>
      </c>
      <c r="L7" s="14"/>
      <c r="M7" s="14" t="b">
        <v>0</v>
      </c>
      <c r="N7" s="14">
        <f t="shared" si="1"/>
        <v>-0.0825461545</v>
      </c>
    </row>
    <row r="8" ht="15.75" customHeight="1">
      <c r="A8" s="14" t="s">
        <v>13</v>
      </c>
      <c r="B8" s="14" t="s">
        <v>40</v>
      </c>
      <c r="C8" s="14">
        <v>162.039016</v>
      </c>
      <c r="D8" s="14">
        <v>79429.013201</v>
      </c>
      <c r="E8" s="14">
        <v>2657.188221</v>
      </c>
      <c r="F8" s="14">
        <v>17.837206</v>
      </c>
      <c r="G8" s="14">
        <v>48.028542</v>
      </c>
      <c r="H8" s="14">
        <v>204.351671</v>
      </c>
      <c r="I8" s="14">
        <v>1.0</v>
      </c>
      <c r="J8" s="14">
        <v>0.778972794042213</v>
      </c>
      <c r="K8" s="14">
        <v>0.996</v>
      </c>
      <c r="L8" s="14"/>
      <c r="M8" s="14" t="b">
        <v>1</v>
      </c>
      <c r="N8" s="14">
        <f t="shared" si="1"/>
        <v>0.05330362692</v>
      </c>
    </row>
    <row r="9" ht="15.75" customHeight="1">
      <c r="A9" s="14" t="s">
        <v>13</v>
      </c>
      <c r="B9" s="14" t="s">
        <v>41</v>
      </c>
      <c r="C9" s="14">
        <v>18.712096</v>
      </c>
      <c r="D9" s="14">
        <v>3548.017698</v>
      </c>
      <c r="E9" s="14">
        <v>272.019861</v>
      </c>
      <c r="F9" s="14">
        <v>2.231678</v>
      </c>
      <c r="G9" s="14">
        <v>4.082782</v>
      </c>
      <c r="H9" s="14">
        <v>104.660102</v>
      </c>
      <c r="I9" s="14">
        <v>1.0</v>
      </c>
      <c r="J9" s="14">
        <v>0.962787183988529</v>
      </c>
      <c r="K9" s="14">
        <v>1.0</v>
      </c>
      <c r="L9" s="14"/>
      <c r="M9" s="14" t="b">
        <v>1</v>
      </c>
      <c r="N9" s="14">
        <f t="shared" si="1"/>
        <v>0.07289376513</v>
      </c>
    </row>
    <row r="10" ht="15.75" customHeight="1">
      <c r="A10" s="14" t="s">
        <v>13</v>
      </c>
      <c r="B10" s="14" t="s">
        <v>37</v>
      </c>
      <c r="C10" s="14">
        <v>255.645408</v>
      </c>
      <c r="D10" s="14">
        <v>99583.433925</v>
      </c>
      <c r="E10" s="14">
        <v>3483.141158</v>
      </c>
      <c r="F10" s="14">
        <v>6.74503</v>
      </c>
      <c r="G10" s="14">
        <v>42.701214</v>
      </c>
      <c r="H10" s="14">
        <v>251.568705</v>
      </c>
      <c r="I10" s="14">
        <v>1.0</v>
      </c>
      <c r="J10" s="14">
        <v>0.939401050764692</v>
      </c>
      <c r="K10" s="14">
        <v>1.0</v>
      </c>
      <c r="L10" s="14"/>
      <c r="M10" s="14" t="b">
        <v>1</v>
      </c>
      <c r="N10" s="14">
        <f t="shared" si="1"/>
        <v>0.3067612039</v>
      </c>
    </row>
    <row r="11" ht="15.75" customHeight="1">
      <c r="A11" s="14" t="s">
        <v>16</v>
      </c>
      <c r="B11" s="14" t="s">
        <v>32</v>
      </c>
      <c r="C11" s="14">
        <v>3.907448</v>
      </c>
      <c r="D11" s="14">
        <v>2325.708073</v>
      </c>
      <c r="E11" s="14">
        <v>129.230548</v>
      </c>
      <c r="F11" s="14">
        <v>3.852113</v>
      </c>
      <c r="G11" s="14">
        <v>2.729021</v>
      </c>
      <c r="H11" s="14">
        <v>23.283318</v>
      </c>
      <c r="I11" s="14">
        <v>1.0</v>
      </c>
      <c r="J11" s="14">
        <v>0.866384049998422</v>
      </c>
      <c r="K11" s="14">
        <v>0.999</v>
      </c>
      <c r="L11" s="14"/>
      <c r="M11" s="14" t="b">
        <v>1</v>
      </c>
      <c r="N11" s="14">
        <f t="shared" ref="N11:N19" si="2">J11 - J20</f>
        <v>0.02032127023</v>
      </c>
    </row>
    <row r="12" ht="15.75" customHeight="1">
      <c r="A12" s="14" t="s">
        <v>16</v>
      </c>
      <c r="B12" s="14" t="s">
        <v>34</v>
      </c>
      <c r="C12" s="14">
        <v>4.520128</v>
      </c>
      <c r="D12" s="14">
        <v>1429.516038</v>
      </c>
      <c r="E12" s="14">
        <v>60.335423</v>
      </c>
      <c r="F12" s="14">
        <v>7.385386</v>
      </c>
      <c r="G12" s="14">
        <v>1.765653</v>
      </c>
      <c r="H12" s="14">
        <v>49.92836</v>
      </c>
      <c r="I12" s="14">
        <v>1.0</v>
      </c>
      <c r="J12" s="14">
        <v>0.930256306306306</v>
      </c>
      <c r="K12" s="14">
        <v>0.791</v>
      </c>
      <c r="L12" s="14"/>
      <c r="M12" s="14" t="b">
        <v>0</v>
      </c>
      <c r="N12" s="14">
        <f t="shared" si="2"/>
        <v>-0.05222376126</v>
      </c>
    </row>
    <row r="13" ht="15.75" customHeight="1">
      <c r="A13" s="14" t="s">
        <v>16</v>
      </c>
      <c r="B13" s="14" t="s">
        <v>35</v>
      </c>
      <c r="C13" s="14">
        <v>98.165608</v>
      </c>
      <c r="D13" s="14">
        <v>116708.881003</v>
      </c>
      <c r="E13" s="14">
        <v>3611.81264</v>
      </c>
      <c r="F13" s="14">
        <v>73.398566</v>
      </c>
      <c r="G13" s="14">
        <v>51.101504</v>
      </c>
      <c r="H13" s="14">
        <v>370.720965</v>
      </c>
      <c r="I13" s="14">
        <v>1.0</v>
      </c>
      <c r="J13" s="14">
        <v>0.898914201133956</v>
      </c>
      <c r="K13" s="14">
        <v>0.923</v>
      </c>
      <c r="L13" s="14"/>
      <c r="M13" s="14" t="b">
        <v>1</v>
      </c>
      <c r="N13" s="14">
        <f t="shared" si="2"/>
        <v>0.009498933216</v>
      </c>
    </row>
    <row r="14" ht="15.75" customHeight="1">
      <c r="A14" s="14" t="s">
        <v>16</v>
      </c>
      <c r="B14" s="14" t="s">
        <v>36</v>
      </c>
      <c r="C14" s="14">
        <v>3.200128</v>
      </c>
      <c r="D14" s="14">
        <v>1005.715612</v>
      </c>
      <c r="E14" s="14">
        <v>35.834697</v>
      </c>
      <c r="F14" s="14">
        <v>4.28641</v>
      </c>
      <c r="G14" s="14">
        <v>0.906376</v>
      </c>
      <c r="H14" s="14">
        <v>27.236423</v>
      </c>
      <c r="I14" s="14">
        <v>1.0</v>
      </c>
      <c r="J14" s="14">
        <v>0.891446180511175</v>
      </c>
      <c r="K14" s="14">
        <v>0.816</v>
      </c>
      <c r="L14" s="14"/>
      <c r="M14" s="14" t="b">
        <v>0</v>
      </c>
      <c r="N14" s="14">
        <f t="shared" si="2"/>
        <v>-0.07674172763</v>
      </c>
    </row>
    <row r="15" ht="15.75" customHeight="1">
      <c r="A15" s="14" t="s">
        <v>16</v>
      </c>
      <c r="B15" s="14" t="s">
        <v>38</v>
      </c>
      <c r="C15" s="14">
        <v>0.200128</v>
      </c>
      <c r="D15" s="14">
        <v>154.00904</v>
      </c>
      <c r="E15" s="14">
        <v>16.014767</v>
      </c>
      <c r="F15" s="14">
        <v>5.153998</v>
      </c>
      <c r="G15" s="14">
        <v>0.783525</v>
      </c>
      <c r="H15" s="14">
        <v>19.951654</v>
      </c>
      <c r="I15" s="14">
        <v>1.0</v>
      </c>
      <c r="J15" s="14">
        <v>0.631260575935451</v>
      </c>
      <c r="K15" s="14">
        <v>1.0</v>
      </c>
      <c r="L15" s="14"/>
      <c r="M15" s="14" t="b">
        <v>0</v>
      </c>
      <c r="N15" s="14">
        <f t="shared" si="2"/>
        <v>-0.06546518711</v>
      </c>
    </row>
    <row r="16" ht="15.75" customHeight="1">
      <c r="A16" s="14" t="s">
        <v>16</v>
      </c>
      <c r="B16" s="14" t="s">
        <v>39</v>
      </c>
      <c r="C16" s="14">
        <v>3.340128</v>
      </c>
      <c r="D16" s="14">
        <v>1211.99274</v>
      </c>
      <c r="E16" s="14">
        <v>50.13047</v>
      </c>
      <c r="F16" s="14">
        <v>5.617237</v>
      </c>
      <c r="G16" s="14">
        <v>1.288895</v>
      </c>
      <c r="H16" s="14">
        <v>33.742342</v>
      </c>
      <c r="I16" s="14">
        <v>1.0</v>
      </c>
      <c r="J16" s="14">
        <v>0.889957162987339</v>
      </c>
      <c r="K16" s="14">
        <v>0.929</v>
      </c>
      <c r="L16" s="14"/>
      <c r="M16" s="14" t="b">
        <v>0</v>
      </c>
      <c r="N16" s="14">
        <f t="shared" si="2"/>
        <v>-0.08009571251</v>
      </c>
    </row>
    <row r="17" ht="15.75" customHeight="1">
      <c r="A17" s="14" t="s">
        <v>16</v>
      </c>
      <c r="B17" s="14" t="s">
        <v>40</v>
      </c>
      <c r="C17" s="14">
        <v>162.039016</v>
      </c>
      <c r="D17" s="13"/>
      <c r="E17" s="13"/>
      <c r="F17" s="13"/>
      <c r="G17" s="13"/>
      <c r="H17" s="13"/>
      <c r="I17" s="13"/>
      <c r="J17" s="13"/>
      <c r="M17" s="14" t="b">
        <v>0</v>
      </c>
      <c r="N17" s="14">
        <f t="shared" si="2"/>
        <v>-0.7256691671</v>
      </c>
    </row>
    <row r="18" ht="15.75" customHeight="1">
      <c r="A18" s="14" t="s">
        <v>16</v>
      </c>
      <c r="B18" s="14" t="s">
        <v>41</v>
      </c>
      <c r="C18" s="14">
        <v>18.712096</v>
      </c>
      <c r="D18" s="14">
        <v>3977.743085</v>
      </c>
      <c r="E18" s="14">
        <v>783.30101</v>
      </c>
      <c r="F18" s="14">
        <v>2.654142</v>
      </c>
      <c r="G18" s="14">
        <v>21.284139</v>
      </c>
      <c r="H18" s="14">
        <v>100.533391</v>
      </c>
      <c r="I18" s="14">
        <v>1.0</v>
      </c>
      <c r="J18" s="14">
        <v>0.952047715808071</v>
      </c>
      <c r="K18" s="14">
        <v>1.0</v>
      </c>
      <c r="L18" s="14"/>
      <c r="M18" s="14" t="b">
        <v>1</v>
      </c>
      <c r="N18" s="14">
        <f t="shared" si="2"/>
        <v>0.06215429695</v>
      </c>
    </row>
    <row r="19" ht="15.75" customHeight="1">
      <c r="A19" s="14" t="s">
        <v>16</v>
      </c>
      <c r="B19" s="14" t="s">
        <v>37</v>
      </c>
      <c r="C19" s="14">
        <v>255.645408</v>
      </c>
      <c r="D19" s="14">
        <v>91881.992014</v>
      </c>
      <c r="E19" s="14">
        <v>3739.305114</v>
      </c>
      <c r="F19" s="14">
        <v>7.058075</v>
      </c>
      <c r="G19" s="14">
        <v>383.31627</v>
      </c>
      <c r="H19" s="14">
        <v>237.510827</v>
      </c>
      <c r="I19" s="14">
        <v>1.0</v>
      </c>
      <c r="J19" s="14">
        <v>0.765138523447276</v>
      </c>
      <c r="K19" s="14">
        <v>1.0</v>
      </c>
      <c r="L19" s="14"/>
      <c r="M19" s="14" t="b">
        <v>1</v>
      </c>
      <c r="N19" s="14">
        <f t="shared" si="2"/>
        <v>0.1324986766</v>
      </c>
    </row>
    <row r="20" ht="15.75" customHeight="1">
      <c r="A20" s="14" t="s">
        <v>33</v>
      </c>
      <c r="B20" s="14" t="s">
        <v>32</v>
      </c>
      <c r="C20" s="14">
        <v>3.907448</v>
      </c>
      <c r="D20" s="14">
        <v>19.262475</v>
      </c>
      <c r="E20" s="14">
        <v>41.178991</v>
      </c>
      <c r="F20" s="14">
        <v>0.171895</v>
      </c>
      <c r="G20" s="14">
        <v>4.276888</v>
      </c>
      <c r="H20" s="14">
        <v>24.046363</v>
      </c>
      <c r="I20" s="14">
        <v>1.0</v>
      </c>
      <c r="J20" s="14">
        <v>0.84606277976821</v>
      </c>
      <c r="K20" s="14">
        <v>1.0</v>
      </c>
      <c r="L20" s="14"/>
      <c r="M20" s="14" t="b">
        <v>0</v>
      </c>
      <c r="N20" s="14">
        <f t="shared" ref="N20:N28" si="3">J20 - J20</f>
        <v>0</v>
      </c>
    </row>
    <row r="21" ht="15.75" customHeight="1">
      <c r="A21" s="14" t="s">
        <v>33</v>
      </c>
      <c r="B21" s="14" t="s">
        <v>34</v>
      </c>
      <c r="C21" s="14">
        <v>4.520128</v>
      </c>
      <c r="D21" s="14">
        <v>39.486633</v>
      </c>
      <c r="E21" s="14">
        <v>61.461189</v>
      </c>
      <c r="F21" s="14">
        <v>0.301708</v>
      </c>
      <c r="G21" s="14">
        <v>6.708032</v>
      </c>
      <c r="H21" s="14">
        <v>51.454178</v>
      </c>
      <c r="I21" s="14">
        <v>1.0</v>
      </c>
      <c r="J21" s="14">
        <v>0.982480067567567</v>
      </c>
      <c r="K21" s="14">
        <v>0.972</v>
      </c>
      <c r="L21" s="14"/>
      <c r="M21" s="14" t="b">
        <v>0</v>
      </c>
      <c r="N21" s="14">
        <f t="shared" si="3"/>
        <v>0</v>
      </c>
    </row>
    <row r="22" ht="15.75" customHeight="1">
      <c r="A22" s="14" t="s">
        <v>33</v>
      </c>
      <c r="B22" s="14" t="s">
        <v>35</v>
      </c>
      <c r="C22" s="14">
        <v>98.165608</v>
      </c>
      <c r="D22" s="14">
        <v>403.173219</v>
      </c>
      <c r="E22" s="14">
        <v>1009.296731</v>
      </c>
      <c r="F22" s="14">
        <v>0.362005</v>
      </c>
      <c r="G22" s="14">
        <v>99.895669</v>
      </c>
      <c r="H22" s="14">
        <v>380.2873</v>
      </c>
      <c r="I22" s="14">
        <v>1.0</v>
      </c>
      <c r="J22" s="14">
        <v>0.889415267918273</v>
      </c>
      <c r="K22" s="14">
        <v>1.0</v>
      </c>
      <c r="L22" s="14"/>
      <c r="M22" s="14" t="b">
        <v>0</v>
      </c>
      <c r="N22" s="14">
        <f t="shared" si="3"/>
        <v>0</v>
      </c>
    </row>
    <row r="23" ht="15.75" customHeight="1">
      <c r="A23" s="14" t="s">
        <v>33</v>
      </c>
      <c r="B23" s="14" t="s">
        <v>36</v>
      </c>
      <c r="C23" s="14">
        <v>3.200128</v>
      </c>
      <c r="D23" s="14">
        <v>17.677838</v>
      </c>
      <c r="E23" s="14">
        <v>33.348378</v>
      </c>
      <c r="F23" s="14">
        <v>0.195083</v>
      </c>
      <c r="G23" s="14">
        <v>3.555851</v>
      </c>
      <c r="H23" s="14">
        <v>28.071566</v>
      </c>
      <c r="I23" s="14">
        <v>1.0</v>
      </c>
      <c r="J23" s="14">
        <v>0.968187908145264</v>
      </c>
      <c r="K23" s="14">
        <v>0.981</v>
      </c>
      <c r="L23" s="14"/>
      <c r="M23" s="14" t="b">
        <v>0</v>
      </c>
      <c r="N23" s="14">
        <f t="shared" si="3"/>
        <v>0</v>
      </c>
    </row>
    <row r="24" ht="15.75" customHeight="1">
      <c r="A24" s="14" t="s">
        <v>33</v>
      </c>
      <c r="B24" s="14" t="s">
        <v>38</v>
      </c>
      <c r="C24" s="14">
        <v>0.200128</v>
      </c>
      <c r="D24" s="14">
        <v>11.130462</v>
      </c>
      <c r="E24" s="14">
        <v>3.112296</v>
      </c>
      <c r="F24" s="14">
        <v>0.293586</v>
      </c>
      <c r="G24" s="14">
        <v>0.735127</v>
      </c>
      <c r="H24" s="14">
        <v>21.027893</v>
      </c>
      <c r="I24" s="14">
        <v>1.0</v>
      </c>
      <c r="J24" s="14">
        <v>0.69672576304207</v>
      </c>
      <c r="K24" s="14">
        <v>1.0</v>
      </c>
      <c r="L24" s="14"/>
      <c r="M24" s="14" t="b">
        <v>0</v>
      </c>
      <c r="N24" s="14">
        <f t="shared" si="3"/>
        <v>0</v>
      </c>
    </row>
    <row r="25" ht="15.75" customHeight="1">
      <c r="A25" s="14" t="s">
        <v>33</v>
      </c>
      <c r="B25" s="14" t="s">
        <v>39</v>
      </c>
      <c r="C25" s="14">
        <v>3.340128</v>
      </c>
      <c r="D25" s="14">
        <v>28.217033</v>
      </c>
      <c r="E25" s="14">
        <v>44.908959</v>
      </c>
      <c r="F25" s="14">
        <v>0.239589</v>
      </c>
      <c r="G25" s="14">
        <v>4.933217</v>
      </c>
      <c r="H25" s="14">
        <v>34.7844939999999</v>
      </c>
      <c r="I25" s="14">
        <v>1.0</v>
      </c>
      <c r="J25" s="14">
        <v>0.970052875498854</v>
      </c>
      <c r="K25" s="14">
        <v>0.998</v>
      </c>
      <c r="L25" s="14"/>
      <c r="M25" s="14" t="b">
        <v>0</v>
      </c>
      <c r="N25" s="14">
        <f t="shared" si="3"/>
        <v>0</v>
      </c>
    </row>
    <row r="26" ht="15.75" customHeight="1">
      <c r="A26" s="14" t="s">
        <v>33</v>
      </c>
      <c r="B26" s="14" t="s">
        <v>40</v>
      </c>
      <c r="C26" s="14">
        <v>162.039016</v>
      </c>
      <c r="D26" s="14">
        <v>302.712975</v>
      </c>
      <c r="E26" s="14">
        <v>1665.501687</v>
      </c>
      <c r="F26" s="14">
        <v>0.3365</v>
      </c>
      <c r="G26" s="14">
        <v>170.823341</v>
      </c>
      <c r="H26" s="14">
        <v>217.189722</v>
      </c>
      <c r="I26" s="14">
        <v>1.0</v>
      </c>
      <c r="J26" s="14">
        <v>0.725669167118249</v>
      </c>
      <c r="K26" s="14">
        <v>1.0</v>
      </c>
      <c r="L26" s="14"/>
      <c r="M26" s="14" t="b">
        <v>0</v>
      </c>
      <c r="N26" s="14">
        <f t="shared" si="3"/>
        <v>0</v>
      </c>
    </row>
    <row r="27" ht="15.75" customHeight="1">
      <c r="A27" s="14" t="s">
        <v>33</v>
      </c>
      <c r="B27" s="14" t="s">
        <v>41</v>
      </c>
      <c r="C27" s="14">
        <v>18.712096</v>
      </c>
      <c r="D27" s="14">
        <v>52.115907</v>
      </c>
      <c r="E27" s="14">
        <v>192.981423</v>
      </c>
      <c r="F27" s="14">
        <v>0.455132</v>
      </c>
      <c r="G27" s="14">
        <v>19.541239</v>
      </c>
      <c r="H27" s="14">
        <v>101.718619</v>
      </c>
      <c r="I27" s="14">
        <v>1.0</v>
      </c>
      <c r="J27" s="14">
        <v>0.889893418861734</v>
      </c>
      <c r="K27" s="14">
        <v>1.0</v>
      </c>
      <c r="L27" s="14"/>
      <c r="M27" s="14" t="b">
        <v>0</v>
      </c>
      <c r="N27" s="14">
        <f t="shared" si="3"/>
        <v>0</v>
      </c>
    </row>
    <row r="28" ht="15.75" customHeight="1">
      <c r="A28" s="14" t="s">
        <v>33</v>
      </c>
      <c r="B28" s="14" t="s">
        <v>37</v>
      </c>
      <c r="C28" s="14">
        <v>255.645408</v>
      </c>
      <c r="D28" s="14">
        <v>408.948338</v>
      </c>
      <c r="E28" s="14">
        <v>2625.850964</v>
      </c>
      <c r="F28" s="14">
        <v>0.426512</v>
      </c>
      <c r="G28" s="14">
        <v>337.745171</v>
      </c>
      <c r="H28" s="14">
        <v>245.408126</v>
      </c>
      <c r="I28" s="14">
        <v>1.0</v>
      </c>
      <c r="J28" s="14">
        <v>0.632639846861083</v>
      </c>
      <c r="K28" s="14">
        <v>1.0</v>
      </c>
      <c r="L28" s="14"/>
      <c r="M28" s="14" t="b">
        <v>0</v>
      </c>
      <c r="N28" s="14">
        <f t="shared" si="3"/>
        <v>0</v>
      </c>
    </row>
    <row r="29" ht="15.75" customHeight="1">
      <c r="A29" s="14" t="s">
        <v>18</v>
      </c>
      <c r="B29" s="14" t="s">
        <v>32</v>
      </c>
      <c r="C29" s="14">
        <v>3.907448</v>
      </c>
      <c r="D29" s="14">
        <v>1053.287998</v>
      </c>
      <c r="E29" s="14">
        <v>128.346053</v>
      </c>
      <c r="F29" s="14">
        <v>0.939188</v>
      </c>
      <c r="G29" s="14">
        <v>0.870539</v>
      </c>
      <c r="H29" s="14">
        <v>23.776992</v>
      </c>
      <c r="I29" s="14">
        <v>1.0</v>
      </c>
      <c r="J29" s="14">
        <v>0.872564891058993</v>
      </c>
      <c r="K29" s="14">
        <v>0.999</v>
      </c>
      <c r="L29" s="14"/>
      <c r="M29" s="14" t="b">
        <v>1</v>
      </c>
      <c r="N29" s="14">
        <f t="shared" ref="N29:N37" si="4">J29 - J20</f>
        <v>0.02650211129</v>
      </c>
    </row>
    <row r="30" ht="15.75" customHeight="1">
      <c r="A30" s="14" t="s">
        <v>18</v>
      </c>
      <c r="B30" s="14" t="s">
        <v>34</v>
      </c>
      <c r="C30" s="14">
        <v>4.520128</v>
      </c>
      <c r="D30" s="14">
        <v>434.908769</v>
      </c>
      <c r="E30" s="14">
        <v>55.801429</v>
      </c>
      <c r="F30" s="14">
        <v>0.857785</v>
      </c>
      <c r="G30" s="14">
        <v>1.364919</v>
      </c>
      <c r="H30" s="14">
        <v>49.617702</v>
      </c>
      <c r="I30" s="14">
        <v>1.0</v>
      </c>
      <c r="J30" s="14">
        <v>0.971463063063063</v>
      </c>
      <c r="K30" s="14">
        <v>0.541</v>
      </c>
      <c r="L30" s="14"/>
      <c r="M30" s="14" t="b">
        <v>0</v>
      </c>
      <c r="N30" s="14">
        <f t="shared" si="4"/>
        <v>-0.0110170045</v>
      </c>
    </row>
    <row r="31" ht="15.75" customHeight="1">
      <c r="A31" s="14" t="s">
        <v>18</v>
      </c>
      <c r="B31" s="14" t="s">
        <v>35</v>
      </c>
      <c r="C31" s="14">
        <v>98.165608</v>
      </c>
      <c r="D31" s="14">
        <v>22532.022959</v>
      </c>
      <c r="E31" s="14">
        <v>3571.018243</v>
      </c>
      <c r="F31" s="14">
        <v>5.22694</v>
      </c>
      <c r="G31" s="14">
        <v>16.245565</v>
      </c>
      <c r="H31" s="14">
        <v>382.490391</v>
      </c>
      <c r="I31" s="14">
        <v>1.0</v>
      </c>
      <c r="J31" s="14">
        <v>0.928852864418362</v>
      </c>
      <c r="K31" s="14">
        <v>0.909</v>
      </c>
      <c r="L31" s="14"/>
      <c r="M31" s="14" t="b">
        <v>1</v>
      </c>
      <c r="N31" s="14">
        <f t="shared" si="4"/>
        <v>0.0394375965</v>
      </c>
    </row>
    <row r="32" ht="15.75" customHeight="1">
      <c r="A32" s="14" t="s">
        <v>18</v>
      </c>
      <c r="B32" s="14" t="s">
        <v>36</v>
      </c>
      <c r="C32" s="14">
        <v>3.200128</v>
      </c>
      <c r="D32" s="14">
        <v>366.121459</v>
      </c>
      <c r="E32" s="14">
        <v>32.630356</v>
      </c>
      <c r="F32" s="14">
        <v>0.695396</v>
      </c>
      <c r="G32" s="14">
        <v>0.678567</v>
      </c>
      <c r="H32" s="14">
        <v>27.967762</v>
      </c>
      <c r="I32" s="14">
        <v>1.0</v>
      </c>
      <c r="J32" s="14">
        <v>0.963600533867272</v>
      </c>
      <c r="K32" s="14">
        <v>0.704</v>
      </c>
      <c r="L32" s="14"/>
      <c r="M32" s="14" t="b">
        <v>0</v>
      </c>
      <c r="N32" s="14">
        <f t="shared" si="4"/>
        <v>-0.004587374278</v>
      </c>
    </row>
    <row r="33" ht="15.75" customHeight="1">
      <c r="A33" s="14" t="s">
        <v>18</v>
      </c>
      <c r="B33" s="14" t="s">
        <v>38</v>
      </c>
      <c r="C33" s="14">
        <v>0.200128</v>
      </c>
      <c r="D33" s="14">
        <v>37.081895</v>
      </c>
      <c r="E33" s="14">
        <v>16.022644</v>
      </c>
      <c r="F33" s="14">
        <v>0.844431</v>
      </c>
      <c r="G33" s="14">
        <v>0.62627</v>
      </c>
      <c r="H33" s="14">
        <v>20.555228</v>
      </c>
      <c r="I33" s="14">
        <v>1.0</v>
      </c>
      <c r="J33" s="14">
        <v>0.695429385946604</v>
      </c>
      <c r="K33" s="14">
        <v>0.937</v>
      </c>
      <c r="L33" s="14"/>
      <c r="M33" s="14" t="b">
        <v>0</v>
      </c>
      <c r="N33" s="14">
        <f t="shared" si="4"/>
        <v>-0.001296377095</v>
      </c>
    </row>
    <row r="34" ht="15.75" customHeight="1">
      <c r="A34" s="14" t="s">
        <v>18</v>
      </c>
      <c r="B34" s="14" t="s">
        <v>39</v>
      </c>
      <c r="C34" s="14">
        <v>3.340128</v>
      </c>
      <c r="D34" s="14">
        <v>441.18945</v>
      </c>
      <c r="E34" s="14">
        <v>46.781604</v>
      </c>
      <c r="F34" s="14">
        <v>0.768685</v>
      </c>
      <c r="G34" s="14">
        <v>0.955969</v>
      </c>
      <c r="H34" s="14">
        <v>34.185555</v>
      </c>
      <c r="I34" s="14">
        <v>1.0</v>
      </c>
      <c r="J34" s="14">
        <v>0.931379813964959</v>
      </c>
      <c r="K34" s="14">
        <v>0.902</v>
      </c>
      <c r="L34" s="14"/>
      <c r="M34" s="14" t="b">
        <v>0</v>
      </c>
      <c r="N34" s="14">
        <f t="shared" si="4"/>
        <v>-0.03867306153</v>
      </c>
    </row>
    <row r="35" ht="15.75" customHeight="1">
      <c r="A35" s="14" t="s">
        <v>18</v>
      </c>
      <c r="B35" s="14" t="s">
        <v>40</v>
      </c>
      <c r="C35" s="14">
        <v>162.039016</v>
      </c>
      <c r="D35" s="14">
        <v>33945.27589</v>
      </c>
      <c r="E35" s="14">
        <v>2657.164908</v>
      </c>
      <c r="F35" s="14">
        <v>8.054357</v>
      </c>
      <c r="G35" s="14">
        <v>37.65756</v>
      </c>
      <c r="H35" s="14">
        <v>215.746903</v>
      </c>
      <c r="I35" s="14">
        <v>1.0</v>
      </c>
      <c r="J35" s="14">
        <v>0.868459998756698</v>
      </c>
      <c r="K35" s="14">
        <v>0.963</v>
      </c>
      <c r="L35" s="14"/>
      <c r="M35" s="14" t="b">
        <v>1</v>
      </c>
      <c r="N35" s="14">
        <f t="shared" si="4"/>
        <v>0.1427908316</v>
      </c>
    </row>
    <row r="36" ht="15.75" customHeight="1">
      <c r="A36" s="14" t="s">
        <v>18</v>
      </c>
      <c r="B36" s="14" t="s">
        <v>41</v>
      </c>
      <c r="C36" s="14">
        <v>18.712096</v>
      </c>
      <c r="D36" s="14">
        <v>2761.408504</v>
      </c>
      <c r="E36" s="14">
        <v>272.026461</v>
      </c>
      <c r="F36" s="14">
        <v>1.853674</v>
      </c>
      <c r="G36" s="14">
        <v>3.47563</v>
      </c>
      <c r="H36" s="14">
        <v>98.551825</v>
      </c>
      <c r="I36" s="14">
        <v>1.0</v>
      </c>
      <c r="J36" s="14">
        <v>0.92802596632824</v>
      </c>
      <c r="K36" s="14">
        <v>1.0</v>
      </c>
      <c r="L36" s="14"/>
      <c r="M36" s="14" t="b">
        <v>1</v>
      </c>
      <c r="N36" s="14">
        <f t="shared" si="4"/>
        <v>0.03813254747</v>
      </c>
    </row>
    <row r="37" ht="15.75" customHeight="1">
      <c r="A37" s="14" t="s">
        <v>18</v>
      </c>
      <c r="B37" s="14" t="s">
        <v>37</v>
      </c>
      <c r="C37" s="14">
        <v>255.645408</v>
      </c>
      <c r="D37" s="14">
        <v>51368.351744</v>
      </c>
      <c r="E37" s="14">
        <v>3483.141502</v>
      </c>
      <c r="F37" s="14">
        <v>9.562733</v>
      </c>
      <c r="G37" s="14">
        <v>26.699829</v>
      </c>
      <c r="H37" s="14">
        <v>242.875422</v>
      </c>
      <c r="I37" s="14">
        <v>1.0</v>
      </c>
      <c r="J37" s="14">
        <v>0.936084792267654</v>
      </c>
      <c r="K37" s="14">
        <v>1.0</v>
      </c>
      <c r="L37" s="14"/>
      <c r="M37" s="14" t="b">
        <v>1</v>
      </c>
      <c r="N37" s="14">
        <f t="shared" si="4"/>
        <v>0.3034449454</v>
      </c>
    </row>
    <row r="38" ht="15.75" customHeight="1">
      <c r="A38" s="13"/>
      <c r="B38" s="13"/>
      <c r="C38" s="13"/>
      <c r="D38" s="13"/>
      <c r="E38" s="13"/>
      <c r="F38" s="13"/>
      <c r="G38" s="13"/>
      <c r="H38" s="13"/>
      <c r="I38" s="13"/>
      <c r="J38" s="13"/>
    </row>
    <row r="39" ht="15.75" customHeight="1">
      <c r="A39" s="13"/>
      <c r="B39" s="13"/>
      <c r="C39" s="13"/>
      <c r="D39" s="13"/>
      <c r="E39" s="13"/>
      <c r="F39" s="13"/>
      <c r="G39" s="13"/>
      <c r="H39" s="13"/>
      <c r="I39" s="13"/>
      <c r="J39" s="13"/>
    </row>
    <row r="40" ht="15.75" customHeight="1">
      <c r="A40" s="13"/>
      <c r="B40" s="13"/>
      <c r="C40" s="13"/>
      <c r="D40" s="13"/>
      <c r="E40" s="13"/>
      <c r="F40" s="13"/>
      <c r="G40" s="13"/>
      <c r="H40" s="13"/>
      <c r="I40" s="13"/>
      <c r="J40" s="13"/>
    </row>
    <row r="41" ht="15.75" customHeight="1">
      <c r="A41" s="13"/>
      <c r="B41" s="13"/>
      <c r="C41" s="13"/>
      <c r="D41" s="13"/>
      <c r="E41" s="13"/>
      <c r="F41" s="13"/>
      <c r="G41" s="13"/>
      <c r="H41" s="13"/>
      <c r="I41" s="13"/>
      <c r="J41" s="13"/>
    </row>
    <row r="42" ht="15.75" customHeight="1">
      <c r="A42" s="13"/>
      <c r="B42" s="13"/>
      <c r="C42" s="13"/>
      <c r="D42" s="13"/>
      <c r="E42" s="13"/>
      <c r="F42" s="13"/>
      <c r="G42" s="13"/>
      <c r="H42" s="13"/>
      <c r="I42" s="13"/>
      <c r="J42" s="13"/>
    </row>
    <row r="43" ht="15.75" customHeight="1">
      <c r="A43" s="13"/>
      <c r="B43" s="13"/>
      <c r="C43" s="13"/>
      <c r="D43" s="13"/>
      <c r="E43" s="13"/>
      <c r="F43" s="13"/>
      <c r="G43" s="13"/>
      <c r="H43" s="13"/>
      <c r="I43" s="13"/>
      <c r="J43" s="13"/>
    </row>
    <row r="44" ht="15.75" customHeight="1">
      <c r="A44" s="13"/>
      <c r="B44" s="13"/>
      <c r="C44" s="13"/>
      <c r="D44" s="13"/>
      <c r="E44" s="13"/>
      <c r="F44" s="13"/>
      <c r="G44" s="13"/>
      <c r="H44" s="13"/>
      <c r="I44" s="13"/>
      <c r="J44" s="13"/>
    </row>
    <row r="45" ht="15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</row>
    <row r="46" ht="15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</row>
    <row r="47" ht="15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</row>
    <row r="48" ht="15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</row>
    <row r="49" ht="15.7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</row>
    <row r="50" ht="15.7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</row>
    <row r="51" ht="15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</row>
    <row r="52" ht="15.7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</row>
    <row r="53" ht="15.7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</row>
    <row r="54" ht="15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</row>
    <row r="55" ht="15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</row>
    <row r="56" ht="15.75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</row>
    <row r="57" ht="15.75" customHeight="1">
      <c r="A57" s="13"/>
      <c r="B57" s="13"/>
      <c r="C57" s="13"/>
      <c r="D57" s="13"/>
      <c r="E57" s="13"/>
      <c r="F57" s="13"/>
      <c r="G57" s="13"/>
      <c r="H57" s="13"/>
      <c r="I57" s="13"/>
      <c r="J57" s="13"/>
    </row>
    <row r="58" ht="15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</row>
    <row r="59" ht="15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</row>
    <row r="60" ht="15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</row>
    <row r="61" ht="15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</row>
    <row r="62" ht="15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</row>
    <row r="63" ht="15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</row>
    <row r="64" ht="15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</row>
  </sheetData>
  <conditionalFormatting sqref="M1:M1000">
    <cfRule type="containsText" dxfId="0" priority="1" operator="containsText" text="TRUE">
      <formula>NOT(ISERROR(SEARCH(("TRUE"),(M1))))</formula>
    </cfRule>
  </conditionalFormatting>
  <conditionalFormatting sqref="M1:M1000">
    <cfRule type="containsText" dxfId="1" priority="2" operator="containsText" text="FALSE">
      <formula>NOT(ISERROR(SEARCH(("FALSE"),(M1))))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5.38"/>
    <col customWidth="1" min="4" max="6" width="12.63"/>
    <col customWidth="1" min="12" max="12" width="8.38"/>
    <col customWidth="1" min="14" max="14" width="17.13"/>
  </cols>
  <sheetData>
    <row r="1" ht="15.75" customHeight="1">
      <c r="A1" s="15" t="s">
        <v>0</v>
      </c>
      <c r="B1" s="15" t="s">
        <v>20</v>
      </c>
      <c r="C1" s="15" t="s">
        <v>21</v>
      </c>
      <c r="D1" s="15" t="s">
        <v>22</v>
      </c>
      <c r="E1" s="15" t="s">
        <v>23</v>
      </c>
      <c r="F1" s="15" t="s">
        <v>24</v>
      </c>
      <c r="G1" s="15" t="s">
        <v>25</v>
      </c>
      <c r="H1" s="15" t="s">
        <v>26</v>
      </c>
      <c r="I1" s="15" t="s">
        <v>27</v>
      </c>
      <c r="J1" s="15" t="s">
        <v>28</v>
      </c>
      <c r="K1" s="15" t="s">
        <v>78</v>
      </c>
      <c r="L1" s="15"/>
      <c r="M1" s="15" t="s">
        <v>31</v>
      </c>
      <c r="N1" s="15" t="s">
        <v>79</v>
      </c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2" ht="15.75" customHeight="1">
      <c r="A2" s="14" t="s">
        <v>13</v>
      </c>
      <c r="B2" s="14" t="s">
        <v>32</v>
      </c>
      <c r="C2" s="14">
        <v>3.907448</v>
      </c>
      <c r="D2" s="14">
        <v>2316.261931</v>
      </c>
      <c r="E2" s="14">
        <v>128.165603</v>
      </c>
      <c r="F2" s="14">
        <v>3.827274</v>
      </c>
      <c r="G2" s="14">
        <v>1.269884</v>
      </c>
      <c r="H2" s="14">
        <v>25.544376</v>
      </c>
      <c r="I2" s="14">
        <v>1.0</v>
      </c>
      <c r="J2" s="14">
        <v>0.841635191321781</v>
      </c>
      <c r="K2" s="14">
        <v>1.0</v>
      </c>
      <c r="L2" s="14"/>
      <c r="M2" s="14" t="b">
        <v>0</v>
      </c>
      <c r="N2" s="14">
        <f t="shared" ref="N2:N10" si="1">J2 - J20</f>
        <v>-0.004427588446</v>
      </c>
    </row>
    <row r="3" ht="15.75" customHeight="1">
      <c r="A3" s="14" t="s">
        <v>13</v>
      </c>
      <c r="B3" s="14" t="s">
        <v>34</v>
      </c>
      <c r="C3" s="14">
        <v>4.520128</v>
      </c>
      <c r="D3" s="14">
        <v>1425.208605</v>
      </c>
      <c r="E3" s="14">
        <v>55.79672</v>
      </c>
      <c r="F3" s="14">
        <v>7.383352</v>
      </c>
      <c r="G3" s="14">
        <v>1.716128</v>
      </c>
      <c r="H3" s="14">
        <v>59.998155</v>
      </c>
      <c r="I3" s="14">
        <v>1.0</v>
      </c>
      <c r="J3" s="14">
        <v>0.906381831831832</v>
      </c>
      <c r="K3" s="14">
        <v>0.827</v>
      </c>
      <c r="L3" s="14"/>
      <c r="M3" s="14" t="b">
        <v>0</v>
      </c>
      <c r="N3" s="14">
        <f t="shared" si="1"/>
        <v>-0.07609823574</v>
      </c>
    </row>
    <row r="4" ht="15.75" customHeight="1">
      <c r="A4" s="14" t="s">
        <v>13</v>
      </c>
      <c r="B4" s="14" t="s">
        <v>35</v>
      </c>
      <c r="C4" s="14">
        <v>98.165608</v>
      </c>
      <c r="D4" s="14">
        <v>122633.102644</v>
      </c>
      <c r="E4" s="14">
        <v>3570.953089</v>
      </c>
      <c r="F4" s="14">
        <v>73.36121</v>
      </c>
      <c r="G4" s="14">
        <v>27.400305</v>
      </c>
      <c r="H4" s="14">
        <v>427.455098</v>
      </c>
      <c r="I4" s="14">
        <v>1.0</v>
      </c>
      <c r="J4" s="14">
        <v>0.898477115165258</v>
      </c>
      <c r="K4" s="14">
        <v>0.943</v>
      </c>
      <c r="L4" s="14"/>
      <c r="M4" s="14" t="b">
        <v>1</v>
      </c>
      <c r="N4" s="14">
        <f t="shared" si="1"/>
        <v>0.009061847247</v>
      </c>
    </row>
    <row r="5" ht="15.75" customHeight="1">
      <c r="A5" s="14" t="s">
        <v>13</v>
      </c>
      <c r="B5" s="14" t="s">
        <v>36</v>
      </c>
      <c r="C5" s="14">
        <v>3.200128</v>
      </c>
      <c r="D5" s="14">
        <v>1007.133854</v>
      </c>
      <c r="E5" s="14">
        <v>32.61154</v>
      </c>
      <c r="F5" s="14">
        <v>4.282827</v>
      </c>
      <c r="G5" s="14">
        <v>0.907156</v>
      </c>
      <c r="H5" s="14">
        <v>29.672993</v>
      </c>
      <c r="I5" s="14">
        <v>1.0</v>
      </c>
      <c r="J5" s="14">
        <v>0.920819569314343</v>
      </c>
      <c r="K5" s="14">
        <v>0.741</v>
      </c>
      <c r="L5" s="14"/>
      <c r="M5" s="14" t="b">
        <v>0</v>
      </c>
      <c r="N5" s="14">
        <f t="shared" si="1"/>
        <v>-0.04736833883</v>
      </c>
    </row>
    <row r="6" ht="15.75" customHeight="1">
      <c r="A6" s="14" t="s">
        <v>13</v>
      </c>
      <c r="B6" s="14" t="s">
        <v>38</v>
      </c>
      <c r="C6" s="14">
        <v>0.200128</v>
      </c>
      <c r="D6" s="14">
        <v>152.0695</v>
      </c>
      <c r="E6" s="14">
        <v>16.001629</v>
      </c>
      <c r="F6" s="14">
        <v>5.169437</v>
      </c>
      <c r="G6" s="14">
        <v>0.628444</v>
      </c>
      <c r="H6" s="14">
        <v>24.294243</v>
      </c>
      <c r="I6" s="14">
        <v>1.0</v>
      </c>
      <c r="J6" s="14">
        <v>0.707920719430089</v>
      </c>
      <c r="K6" s="14">
        <v>1.0</v>
      </c>
      <c r="L6" s="14"/>
      <c r="M6" s="14" t="b">
        <v>1</v>
      </c>
      <c r="N6" s="14">
        <f t="shared" si="1"/>
        <v>0.01119495639</v>
      </c>
    </row>
    <row r="7" ht="15.75" customHeight="1">
      <c r="A7" s="14" t="s">
        <v>13</v>
      </c>
      <c r="B7" s="14" t="s">
        <v>39</v>
      </c>
      <c r="C7" s="14">
        <v>3.340128</v>
      </c>
      <c r="D7" s="14">
        <v>1211.373796</v>
      </c>
      <c r="E7" s="14">
        <v>46.764042</v>
      </c>
      <c r="F7" s="14">
        <v>5.615333</v>
      </c>
      <c r="G7" s="14">
        <v>1.256492</v>
      </c>
      <c r="H7" s="14">
        <v>39.542424</v>
      </c>
      <c r="I7" s="14">
        <v>1.0</v>
      </c>
      <c r="J7" s="14">
        <v>0.905039178271935</v>
      </c>
      <c r="K7" s="14">
        <v>0.903</v>
      </c>
      <c r="L7" s="14"/>
      <c r="M7" s="14" t="b">
        <v>0</v>
      </c>
      <c r="N7" s="14">
        <f t="shared" si="1"/>
        <v>-0.06501369723</v>
      </c>
    </row>
    <row r="8" ht="15.75" customHeight="1">
      <c r="A8" s="14" t="s">
        <v>13</v>
      </c>
      <c r="B8" s="14" t="s">
        <v>40</v>
      </c>
      <c r="C8" s="14">
        <v>162.039016</v>
      </c>
      <c r="D8" s="14">
        <v>79889.106245</v>
      </c>
      <c r="E8" s="14">
        <v>2657.14235</v>
      </c>
      <c r="F8" s="14">
        <v>17.832109</v>
      </c>
      <c r="G8" s="14">
        <v>49.524829</v>
      </c>
      <c r="H8" s="14">
        <v>240.751302</v>
      </c>
      <c r="I8" s="14">
        <v>1.0</v>
      </c>
      <c r="J8" s="14">
        <v>0.779617098672366</v>
      </c>
      <c r="K8" s="14">
        <v>0.988</v>
      </c>
      <c r="L8" s="14"/>
      <c r="M8" s="14" t="b">
        <v>1</v>
      </c>
      <c r="N8" s="14">
        <f t="shared" si="1"/>
        <v>0.05394793155</v>
      </c>
    </row>
    <row r="9" ht="15.75" customHeight="1">
      <c r="A9" s="14" t="s">
        <v>13</v>
      </c>
      <c r="B9" s="14" t="s">
        <v>41</v>
      </c>
      <c r="C9" s="14">
        <v>18.712096</v>
      </c>
      <c r="D9" s="14">
        <v>3587.757417</v>
      </c>
      <c r="E9" s="14">
        <v>271.971268</v>
      </c>
      <c r="F9" s="14">
        <v>2.23112</v>
      </c>
      <c r="G9" s="14">
        <v>3.844036</v>
      </c>
      <c r="H9" s="14">
        <v>105.152594</v>
      </c>
      <c r="I9" s="14">
        <v>1.0</v>
      </c>
      <c r="J9" s="14">
        <v>0.963664879583402</v>
      </c>
      <c r="K9" s="14">
        <v>1.0</v>
      </c>
      <c r="L9" s="14"/>
      <c r="M9" s="14" t="b">
        <v>1</v>
      </c>
      <c r="N9" s="14">
        <f t="shared" si="1"/>
        <v>0.07377146072</v>
      </c>
    </row>
    <row r="10" ht="15.75" customHeight="1">
      <c r="A10" s="14" t="s">
        <v>13</v>
      </c>
      <c r="B10" s="14" t="s">
        <v>37</v>
      </c>
      <c r="C10" s="14">
        <v>255.645408</v>
      </c>
      <c r="D10" s="14">
        <v>103817.750676</v>
      </c>
      <c r="E10" s="14">
        <v>3483.110583</v>
      </c>
      <c r="F10" s="14">
        <v>6.744472</v>
      </c>
      <c r="G10" s="14">
        <v>42.590644</v>
      </c>
      <c r="H10" s="14">
        <v>286.190622</v>
      </c>
      <c r="I10" s="14">
        <v>1.0</v>
      </c>
      <c r="J10" s="14">
        <v>0.940037530991797</v>
      </c>
      <c r="K10" s="14">
        <v>1.0</v>
      </c>
      <c r="L10" s="14"/>
      <c r="M10" s="14" t="b">
        <v>1</v>
      </c>
      <c r="N10" s="14">
        <f t="shared" si="1"/>
        <v>0.3073976841</v>
      </c>
    </row>
    <row r="11" ht="15.75" customHeight="1">
      <c r="A11" s="14" t="s">
        <v>16</v>
      </c>
      <c r="B11" s="14" t="s">
        <v>32</v>
      </c>
      <c r="C11" s="14">
        <v>3.907448</v>
      </c>
      <c r="D11" s="14">
        <v>2328.924374</v>
      </c>
      <c r="E11" s="14">
        <v>129.07231</v>
      </c>
      <c r="F11" s="14">
        <v>3.850649</v>
      </c>
      <c r="G11" s="14">
        <v>2.637237</v>
      </c>
      <c r="H11" s="14">
        <v>24.943537</v>
      </c>
      <c r="I11" s="14">
        <v>1.0</v>
      </c>
      <c r="J11" s="14">
        <v>0.869943154572353</v>
      </c>
      <c r="K11" s="14">
        <v>0.997</v>
      </c>
      <c r="L11" s="14"/>
      <c r="M11" s="14" t="b">
        <v>1</v>
      </c>
      <c r="N11" s="14">
        <f t="shared" ref="N11:N19" si="2">J11 - J20</f>
        <v>0.0238803748</v>
      </c>
    </row>
    <row r="12" ht="15.75" customHeight="1">
      <c r="A12" s="14" t="s">
        <v>16</v>
      </c>
      <c r="B12" s="14" t="s">
        <v>34</v>
      </c>
      <c r="C12" s="14">
        <v>4.520128</v>
      </c>
      <c r="D12" s="14">
        <v>1433.182343</v>
      </c>
      <c r="E12" s="14">
        <v>60.293712</v>
      </c>
      <c r="F12" s="14">
        <v>7.385098</v>
      </c>
      <c r="G12" s="14">
        <v>1.77196</v>
      </c>
      <c r="H12" s="14">
        <v>59.083496</v>
      </c>
      <c r="I12" s="14">
        <v>1.0</v>
      </c>
      <c r="J12" s="14">
        <v>0.923492192192192</v>
      </c>
      <c r="K12" s="14">
        <v>0.813</v>
      </c>
      <c r="L12" s="14"/>
      <c r="M12" s="14" t="b">
        <v>0</v>
      </c>
      <c r="N12" s="14">
        <f t="shared" si="2"/>
        <v>-0.05898787538</v>
      </c>
    </row>
    <row r="13" ht="15.75" customHeight="1">
      <c r="A13" s="14" t="s">
        <v>16</v>
      </c>
      <c r="B13" s="14" t="s">
        <v>35</v>
      </c>
      <c r="C13" s="14">
        <v>98.165608</v>
      </c>
      <c r="D13" s="14">
        <v>121023.610766</v>
      </c>
      <c r="E13" s="14">
        <v>3611.801363</v>
      </c>
      <c r="F13" s="14">
        <v>73.397801</v>
      </c>
      <c r="G13" s="14">
        <v>52.396332</v>
      </c>
      <c r="H13" s="14">
        <v>434.705504</v>
      </c>
      <c r="I13" s="14">
        <v>1.0</v>
      </c>
      <c r="J13" s="14">
        <v>0.885493919141919</v>
      </c>
      <c r="K13" s="14">
        <v>0.94</v>
      </c>
      <c r="L13" s="14"/>
      <c r="M13" s="14" t="b">
        <v>0</v>
      </c>
      <c r="N13" s="14">
        <f t="shared" si="2"/>
        <v>-0.003921348776</v>
      </c>
    </row>
    <row r="14" ht="15.75" customHeight="1">
      <c r="A14" s="14" t="s">
        <v>16</v>
      </c>
      <c r="B14" s="14" t="s">
        <v>36</v>
      </c>
      <c r="C14" s="14">
        <v>3.200128</v>
      </c>
      <c r="D14" s="14">
        <v>1007.429054</v>
      </c>
      <c r="E14" s="14">
        <v>35.831586</v>
      </c>
      <c r="F14" s="14">
        <v>4.284097</v>
      </c>
      <c r="G14" s="14">
        <v>0.899779</v>
      </c>
      <c r="H14" s="14">
        <v>28.781672</v>
      </c>
      <c r="I14" s="14">
        <v>1.0</v>
      </c>
      <c r="J14" s="14">
        <v>0.927113384780277</v>
      </c>
      <c r="K14" s="14">
        <v>0.75</v>
      </c>
      <c r="L14" s="14"/>
      <c r="M14" s="14" t="b">
        <v>0</v>
      </c>
      <c r="N14" s="14">
        <f t="shared" si="2"/>
        <v>-0.04107452336</v>
      </c>
    </row>
    <row r="15" ht="15.75" customHeight="1">
      <c r="A15" s="14" t="s">
        <v>16</v>
      </c>
      <c r="B15" s="14" t="s">
        <v>38</v>
      </c>
      <c r="C15" s="14">
        <v>0.200128</v>
      </c>
      <c r="D15" s="14">
        <v>154.215718</v>
      </c>
      <c r="E15" s="14">
        <v>15.981839</v>
      </c>
      <c r="F15" s="14">
        <v>5.153677</v>
      </c>
      <c r="G15" s="14">
        <v>0.795274</v>
      </c>
      <c r="H15" s="14">
        <v>23.57737</v>
      </c>
      <c r="I15" s="14">
        <v>1.0</v>
      </c>
      <c r="J15" s="14">
        <v>0.607905648635254</v>
      </c>
      <c r="K15" s="14">
        <v>1.0</v>
      </c>
      <c r="L15" s="14"/>
      <c r="M15" s="14" t="b">
        <v>0</v>
      </c>
      <c r="N15" s="14">
        <f t="shared" si="2"/>
        <v>-0.08882011441</v>
      </c>
    </row>
    <row r="16" ht="15.75" customHeight="1">
      <c r="A16" s="14" t="s">
        <v>16</v>
      </c>
      <c r="B16" s="14" t="s">
        <v>39</v>
      </c>
      <c r="C16" s="14">
        <v>3.340128</v>
      </c>
      <c r="D16" s="14">
        <v>1219.585246</v>
      </c>
      <c r="E16" s="14">
        <v>50.120673</v>
      </c>
      <c r="F16" s="14">
        <v>5.616799</v>
      </c>
      <c r="G16" s="14">
        <v>1.329169</v>
      </c>
      <c r="H16" s="14">
        <v>41.228428</v>
      </c>
      <c r="I16" s="14">
        <v>1.0</v>
      </c>
      <c r="J16" s="14">
        <v>0.898382130643443</v>
      </c>
      <c r="K16" s="14">
        <v>0.928</v>
      </c>
      <c r="L16" s="14"/>
      <c r="M16" s="14" t="b">
        <v>0</v>
      </c>
      <c r="N16" s="14">
        <f t="shared" si="2"/>
        <v>-0.07167074486</v>
      </c>
    </row>
    <row r="17" ht="15.75" customHeight="1">
      <c r="A17" s="14" t="s">
        <v>16</v>
      </c>
      <c r="B17" s="14" t="s">
        <v>40</v>
      </c>
      <c r="C17" s="14">
        <v>162.039016</v>
      </c>
      <c r="D17" s="13"/>
      <c r="E17" s="13"/>
      <c r="F17" s="13"/>
      <c r="L17" s="13"/>
      <c r="M17" s="14" t="b">
        <v>0</v>
      </c>
      <c r="N17" s="14">
        <f t="shared" si="2"/>
        <v>-0.7256691671</v>
      </c>
    </row>
    <row r="18" ht="15.75" customHeight="1">
      <c r="A18" s="14" t="s">
        <v>16</v>
      </c>
      <c r="B18" s="14" t="s">
        <v>41</v>
      </c>
      <c r="C18" s="14">
        <v>18.712096</v>
      </c>
      <c r="D18" s="14">
        <v>4011.229839</v>
      </c>
      <c r="E18" s="14">
        <v>783.314739</v>
      </c>
      <c r="F18" s="14">
        <v>2.653854</v>
      </c>
      <c r="G18" s="14">
        <v>21.069445</v>
      </c>
      <c r="H18" s="14">
        <v>100.216751</v>
      </c>
      <c r="I18" s="14">
        <v>1.0</v>
      </c>
      <c r="J18" s="14">
        <v>0.949472141603888</v>
      </c>
      <c r="K18" s="14">
        <v>1.0</v>
      </c>
      <c r="L18" s="14"/>
      <c r="M18" s="14" t="b">
        <v>1</v>
      </c>
      <c r="N18" s="14">
        <f t="shared" si="2"/>
        <v>0.05957872274</v>
      </c>
    </row>
    <row r="19" ht="15.75" customHeight="1">
      <c r="A19" s="14" t="s">
        <v>16</v>
      </c>
      <c r="B19" s="14" t="s">
        <v>37</v>
      </c>
      <c r="C19" s="14">
        <v>255.645408</v>
      </c>
      <c r="D19" s="14">
        <v>93964.418685</v>
      </c>
      <c r="E19" s="14">
        <v>3739.273616</v>
      </c>
      <c r="F19" s="14">
        <v>7.057787</v>
      </c>
      <c r="G19" s="14">
        <v>375.904451</v>
      </c>
      <c r="H19" s="14">
        <v>263.909133</v>
      </c>
      <c r="I19" s="14">
        <v>1.0</v>
      </c>
      <c r="J19" s="14">
        <v>0.766060719994712</v>
      </c>
      <c r="K19" s="14">
        <v>1.0</v>
      </c>
      <c r="L19" s="14"/>
      <c r="M19" s="14" t="b">
        <v>1</v>
      </c>
      <c r="N19" s="14">
        <f t="shared" si="2"/>
        <v>0.1334208731</v>
      </c>
    </row>
    <row r="20" ht="15.75" customHeight="1">
      <c r="A20" s="14" t="s">
        <v>33</v>
      </c>
      <c r="B20" s="14" t="s">
        <v>32</v>
      </c>
      <c r="C20" s="14">
        <v>3.907448</v>
      </c>
      <c r="D20" s="14">
        <v>18.970822</v>
      </c>
      <c r="E20" s="14">
        <v>41.029612</v>
      </c>
      <c r="F20" s="14">
        <v>0.16968</v>
      </c>
      <c r="G20" s="14">
        <v>4.241931</v>
      </c>
      <c r="H20" s="14">
        <v>25.819447</v>
      </c>
      <c r="I20" s="14">
        <v>1.0</v>
      </c>
      <c r="J20" s="14">
        <v>0.84606277976821</v>
      </c>
      <c r="K20" s="14">
        <v>1.0</v>
      </c>
      <c r="L20" s="14"/>
      <c r="M20" s="14" t="b">
        <v>0</v>
      </c>
      <c r="N20" s="14">
        <f t="shared" ref="N20:N28" si="3">J20 - J20</f>
        <v>0</v>
      </c>
    </row>
    <row r="21" ht="15.75" customHeight="1">
      <c r="A21" s="14" t="s">
        <v>33</v>
      </c>
      <c r="B21" s="14" t="s">
        <v>34</v>
      </c>
      <c r="C21" s="14">
        <v>4.520128</v>
      </c>
      <c r="D21" s="14">
        <v>39.431388</v>
      </c>
      <c r="E21" s="14">
        <v>61.457303</v>
      </c>
      <c r="F21" s="14">
        <v>0.301203</v>
      </c>
      <c r="G21" s="14">
        <v>6.684039</v>
      </c>
      <c r="H21" s="14">
        <v>60.430903</v>
      </c>
      <c r="I21" s="14">
        <v>1.0</v>
      </c>
      <c r="J21" s="14">
        <v>0.982480067567567</v>
      </c>
      <c r="K21" s="14">
        <v>0.961</v>
      </c>
      <c r="L21" s="14"/>
      <c r="M21" s="14" t="b">
        <v>0</v>
      </c>
      <c r="N21" s="14">
        <f t="shared" si="3"/>
        <v>0</v>
      </c>
    </row>
    <row r="22" ht="15.75" customHeight="1">
      <c r="A22" s="14" t="s">
        <v>33</v>
      </c>
      <c r="B22" s="14" t="s">
        <v>35</v>
      </c>
      <c r="C22" s="14">
        <v>98.165608</v>
      </c>
      <c r="D22" s="14">
        <v>405.147851</v>
      </c>
      <c r="E22" s="14">
        <v>1009.304171</v>
      </c>
      <c r="F22" s="14">
        <v>0.361272</v>
      </c>
      <c r="G22" s="14">
        <v>99.458045</v>
      </c>
      <c r="H22" s="14">
        <v>433.852501</v>
      </c>
      <c r="I22" s="14">
        <v>1.0</v>
      </c>
      <c r="J22" s="14">
        <v>0.889415267918273</v>
      </c>
      <c r="K22" s="14">
        <v>1.0</v>
      </c>
      <c r="L22" s="14"/>
      <c r="M22" s="14" t="b">
        <v>0</v>
      </c>
      <c r="N22" s="14">
        <f t="shared" si="3"/>
        <v>0</v>
      </c>
    </row>
    <row r="23" ht="15.75" customHeight="1">
      <c r="A23" s="14" t="s">
        <v>33</v>
      </c>
      <c r="B23" s="14" t="s">
        <v>36</v>
      </c>
      <c r="C23" s="14">
        <v>3.200128</v>
      </c>
      <c r="D23" s="14">
        <v>17.811055</v>
      </c>
      <c r="E23" s="14">
        <v>33.339701</v>
      </c>
      <c r="F23" s="14">
        <v>0.194002</v>
      </c>
      <c r="G23" s="14">
        <v>3.533974</v>
      </c>
      <c r="H23" s="14">
        <v>28.944616</v>
      </c>
      <c r="I23" s="14">
        <v>1.0</v>
      </c>
      <c r="J23" s="14">
        <v>0.968187908145264</v>
      </c>
      <c r="K23" s="14">
        <v>0.983</v>
      </c>
      <c r="L23" s="14"/>
      <c r="M23" s="14" t="b">
        <v>0</v>
      </c>
      <c r="N23" s="14">
        <f t="shared" si="3"/>
        <v>0</v>
      </c>
    </row>
    <row r="24" ht="15.75" customHeight="1">
      <c r="A24" s="14" t="s">
        <v>33</v>
      </c>
      <c r="B24" s="14" t="s">
        <v>38</v>
      </c>
      <c r="C24" s="14">
        <v>0.200128</v>
      </c>
      <c r="D24" s="14">
        <v>10.703311</v>
      </c>
      <c r="E24" s="14">
        <v>3.116626</v>
      </c>
      <c r="F24" s="14">
        <v>0.293168</v>
      </c>
      <c r="G24" s="14">
        <v>0.699363</v>
      </c>
      <c r="H24" s="14">
        <v>24.119387</v>
      </c>
      <c r="I24" s="14">
        <v>1.0</v>
      </c>
      <c r="J24" s="14">
        <v>0.69672576304207</v>
      </c>
      <c r="K24" s="14">
        <v>1.0</v>
      </c>
      <c r="L24" s="14"/>
      <c r="M24" s="14" t="b">
        <v>0</v>
      </c>
      <c r="N24" s="14">
        <f t="shared" si="3"/>
        <v>0</v>
      </c>
    </row>
    <row r="25" ht="15.75" customHeight="1">
      <c r="A25" s="14" t="s">
        <v>33</v>
      </c>
      <c r="B25" s="14" t="s">
        <v>39</v>
      </c>
      <c r="C25" s="14">
        <v>3.340128</v>
      </c>
      <c r="D25" s="14">
        <v>28.717021</v>
      </c>
      <c r="E25" s="14">
        <v>44.925261</v>
      </c>
      <c r="F25" s="14">
        <v>0.239171</v>
      </c>
      <c r="G25" s="14">
        <v>4.918213</v>
      </c>
      <c r="H25" s="14">
        <v>39.470655</v>
      </c>
      <c r="I25" s="14">
        <v>1.0</v>
      </c>
      <c r="J25" s="14">
        <v>0.970052875498854</v>
      </c>
      <c r="K25" s="14">
        <v>0.999</v>
      </c>
      <c r="L25" s="14"/>
      <c r="M25" s="14" t="b">
        <v>0</v>
      </c>
      <c r="N25" s="14">
        <f t="shared" si="3"/>
        <v>0</v>
      </c>
    </row>
    <row r="26" ht="15.75" customHeight="1">
      <c r="A26" s="14" t="s">
        <v>33</v>
      </c>
      <c r="B26" s="14" t="s">
        <v>40</v>
      </c>
      <c r="C26" s="14">
        <v>162.039016</v>
      </c>
      <c r="D26" s="14">
        <v>302.537711</v>
      </c>
      <c r="E26" s="14">
        <v>1665.507656</v>
      </c>
      <c r="F26" s="14">
        <v>0.335653</v>
      </c>
      <c r="G26" s="14">
        <v>170.288783</v>
      </c>
      <c r="H26" s="14">
        <v>246.41538</v>
      </c>
      <c r="I26" s="14">
        <v>1.0</v>
      </c>
      <c r="J26" s="14">
        <v>0.725669167118249</v>
      </c>
      <c r="K26" s="14">
        <v>1.0</v>
      </c>
      <c r="L26" s="14"/>
      <c r="M26" s="14" t="b">
        <v>0</v>
      </c>
      <c r="N26" s="14">
        <f t="shared" si="3"/>
        <v>0</v>
      </c>
    </row>
    <row r="27" ht="15.75" customHeight="1">
      <c r="A27" s="14" t="s">
        <v>33</v>
      </c>
      <c r="B27" s="14" t="s">
        <v>41</v>
      </c>
      <c r="C27" s="14">
        <v>18.712096</v>
      </c>
      <c r="D27" s="14">
        <v>51.254796</v>
      </c>
      <c r="E27" s="14">
        <v>192.979529</v>
      </c>
      <c r="F27" s="14">
        <v>0.454744</v>
      </c>
      <c r="G27" s="14">
        <v>19.368369</v>
      </c>
      <c r="H27" s="14">
        <v>100.644576</v>
      </c>
      <c r="I27" s="14">
        <v>1.0</v>
      </c>
      <c r="J27" s="14">
        <v>0.889893418861734</v>
      </c>
      <c r="K27" s="14">
        <v>1.0</v>
      </c>
      <c r="L27" s="14"/>
      <c r="M27" s="14" t="b">
        <v>0</v>
      </c>
      <c r="N27" s="14">
        <f t="shared" si="3"/>
        <v>0</v>
      </c>
    </row>
    <row r="28" ht="15.75" customHeight="1">
      <c r="A28" s="14" t="s">
        <v>33</v>
      </c>
      <c r="B28" s="14" t="s">
        <v>37</v>
      </c>
      <c r="C28" s="14">
        <v>255.645408</v>
      </c>
      <c r="D28" s="14">
        <v>405.153151</v>
      </c>
      <c r="E28" s="14">
        <v>2625.803087</v>
      </c>
      <c r="F28" s="14">
        <v>0.426124</v>
      </c>
      <c r="G28" s="14">
        <v>336.00583</v>
      </c>
      <c r="H28" s="14">
        <v>269.253947</v>
      </c>
      <c r="I28" s="14">
        <v>1.0</v>
      </c>
      <c r="J28" s="14">
        <v>0.632639846861083</v>
      </c>
      <c r="K28" s="14">
        <v>1.0</v>
      </c>
      <c r="L28" s="14"/>
      <c r="M28" s="14" t="b">
        <v>0</v>
      </c>
      <c r="N28" s="14">
        <f t="shared" si="3"/>
        <v>0</v>
      </c>
    </row>
    <row r="29" ht="15.75" customHeight="1">
      <c r="A29" s="14" t="s">
        <v>18</v>
      </c>
      <c r="B29" s="14" t="s">
        <v>32</v>
      </c>
      <c r="C29" s="14">
        <v>3.907448</v>
      </c>
      <c r="D29" s="14">
        <v>1090.555311</v>
      </c>
      <c r="E29" s="14">
        <v>128.180727</v>
      </c>
      <c r="F29" s="14">
        <v>0.937814</v>
      </c>
      <c r="G29" s="14">
        <v>0.868793</v>
      </c>
      <c r="H29" s="14">
        <v>25.889789</v>
      </c>
      <c r="I29" s="14">
        <v>1.0</v>
      </c>
      <c r="J29" s="14">
        <v>0.880635820578346</v>
      </c>
      <c r="K29" s="14">
        <v>0.994</v>
      </c>
      <c r="L29" s="14"/>
      <c r="M29" s="14" t="b">
        <v>1</v>
      </c>
      <c r="N29" s="14">
        <f t="shared" ref="N29:N37" si="4">J29-J20</f>
        <v>0.03457304081</v>
      </c>
    </row>
    <row r="30" ht="15.75" customHeight="1">
      <c r="A30" s="14" t="s">
        <v>18</v>
      </c>
      <c r="B30" s="14" t="s">
        <v>34</v>
      </c>
      <c r="C30" s="14">
        <v>4.520128</v>
      </c>
      <c r="D30" s="14">
        <v>422.430167</v>
      </c>
      <c r="E30" s="14">
        <v>55.792345</v>
      </c>
      <c r="F30" s="14">
        <v>0.857587</v>
      </c>
      <c r="G30" s="14">
        <v>1.340304</v>
      </c>
      <c r="H30" s="14">
        <v>60.394589</v>
      </c>
      <c r="I30" s="14">
        <v>1.0</v>
      </c>
      <c r="J30" s="14">
        <v>0.970647635135135</v>
      </c>
      <c r="K30" s="14">
        <v>0.511</v>
      </c>
      <c r="L30" s="14"/>
      <c r="M30" s="14" t="b">
        <v>0</v>
      </c>
      <c r="N30" s="14">
        <f t="shared" si="4"/>
        <v>-0.01183243243</v>
      </c>
    </row>
    <row r="31" ht="15.75" customHeight="1">
      <c r="A31" s="14" t="s">
        <v>18</v>
      </c>
      <c r="B31" s="14" t="s">
        <v>35</v>
      </c>
      <c r="C31" s="14">
        <v>98.165608</v>
      </c>
      <c r="D31" s="14">
        <v>27148.887237</v>
      </c>
      <c r="E31" s="14">
        <v>3570.969567</v>
      </c>
      <c r="F31" s="14">
        <v>5.226448</v>
      </c>
      <c r="G31" s="14">
        <v>16.921706</v>
      </c>
      <c r="H31" s="14">
        <v>432.94486</v>
      </c>
      <c r="I31" s="14">
        <v>1.0</v>
      </c>
      <c r="J31" s="14">
        <v>0.91164169705098</v>
      </c>
      <c r="K31" s="14">
        <v>0.955</v>
      </c>
      <c r="L31" s="14"/>
      <c r="M31" s="14" t="b">
        <v>1</v>
      </c>
      <c r="N31" s="14">
        <f t="shared" si="4"/>
        <v>0.02222642913</v>
      </c>
    </row>
    <row r="32" ht="15.75" customHeight="1">
      <c r="A32" s="14" t="s">
        <v>18</v>
      </c>
      <c r="B32" s="14" t="s">
        <v>36</v>
      </c>
      <c r="C32" s="14">
        <v>3.200128</v>
      </c>
      <c r="D32" s="14">
        <v>352.700991</v>
      </c>
      <c r="E32" s="14">
        <v>32.616801</v>
      </c>
      <c r="F32" s="14">
        <v>0.693173</v>
      </c>
      <c r="G32" s="14">
        <v>0.67471</v>
      </c>
      <c r="H32" s="14">
        <v>29.307051</v>
      </c>
      <c r="I32" s="14">
        <v>1.0</v>
      </c>
      <c r="J32" s="14">
        <v>0.963714359473316</v>
      </c>
      <c r="K32" s="14">
        <v>0.729</v>
      </c>
      <c r="L32" s="14"/>
      <c r="M32" s="14" t="b">
        <v>0</v>
      </c>
      <c r="N32" s="14">
        <f t="shared" si="4"/>
        <v>-0.004473548672</v>
      </c>
    </row>
    <row r="33" ht="15.75" customHeight="1">
      <c r="A33" s="14" t="s">
        <v>18</v>
      </c>
      <c r="B33" s="14" t="s">
        <v>38</v>
      </c>
      <c r="C33" s="14">
        <v>0.200128</v>
      </c>
      <c r="D33" s="14">
        <v>37.552731</v>
      </c>
      <c r="E33" s="14">
        <v>15.987916</v>
      </c>
      <c r="F33" s="14">
        <v>0.8442</v>
      </c>
      <c r="G33" s="14">
        <v>0.599775</v>
      </c>
      <c r="H33" s="14">
        <v>26.162293</v>
      </c>
      <c r="I33" s="14">
        <v>1.0</v>
      </c>
      <c r="J33" s="14">
        <v>0.682150220962413</v>
      </c>
      <c r="K33" s="14">
        <v>0.922</v>
      </c>
      <c r="L33" s="14"/>
      <c r="M33" s="14" t="b">
        <v>0</v>
      </c>
      <c r="N33" s="14">
        <f t="shared" si="4"/>
        <v>-0.01457554208</v>
      </c>
    </row>
    <row r="34" ht="15.75" customHeight="1">
      <c r="A34" s="14" t="s">
        <v>18</v>
      </c>
      <c r="B34" s="14" t="s">
        <v>39</v>
      </c>
      <c r="C34" s="14">
        <v>3.340128</v>
      </c>
      <c r="D34" s="14">
        <v>357.860938</v>
      </c>
      <c r="E34" s="14">
        <v>46.762859</v>
      </c>
      <c r="F34" s="14">
        <v>0.76834</v>
      </c>
      <c r="G34" s="14">
        <v>0.911502</v>
      </c>
      <c r="H34" s="14">
        <v>40.224929</v>
      </c>
      <c r="I34" s="14">
        <v>1.0</v>
      </c>
      <c r="J34" s="14">
        <v>0.941918128290577</v>
      </c>
      <c r="K34" s="14">
        <v>0.888</v>
      </c>
      <c r="L34" s="14"/>
      <c r="M34" s="14" t="b">
        <v>0</v>
      </c>
      <c r="N34" s="14">
        <f t="shared" si="4"/>
        <v>-0.02813474721</v>
      </c>
    </row>
    <row r="35" ht="15.75" customHeight="1">
      <c r="A35" s="14" t="s">
        <v>18</v>
      </c>
      <c r="B35" s="14" t="s">
        <v>40</v>
      </c>
      <c r="C35" s="14">
        <v>162.039016</v>
      </c>
      <c r="D35" s="14">
        <v>35952.581494</v>
      </c>
      <c r="E35" s="14">
        <v>2657.12276</v>
      </c>
      <c r="F35" s="14">
        <v>8.050145</v>
      </c>
      <c r="G35" s="14">
        <v>40.129475</v>
      </c>
      <c r="H35" s="14">
        <v>254.293155</v>
      </c>
      <c r="I35" s="14">
        <v>1.0</v>
      </c>
      <c r="J35" s="14">
        <v>0.846739056563783</v>
      </c>
      <c r="K35" s="14">
        <v>0.986</v>
      </c>
      <c r="L35" s="14"/>
      <c r="M35" s="14" t="b">
        <v>1</v>
      </c>
      <c r="N35" s="14">
        <f t="shared" si="4"/>
        <v>0.1210698894</v>
      </c>
    </row>
    <row r="36" ht="15.75" customHeight="1">
      <c r="A36" s="14" t="s">
        <v>18</v>
      </c>
      <c r="B36" s="14" t="s">
        <v>41</v>
      </c>
      <c r="C36" s="14">
        <v>18.712096</v>
      </c>
      <c r="D36" s="14">
        <v>2901.594608</v>
      </c>
      <c r="E36" s="14">
        <v>271.958446</v>
      </c>
      <c r="F36" s="14">
        <v>1.853476</v>
      </c>
      <c r="G36" s="14">
        <v>3.303531</v>
      </c>
      <c r="H36" s="14">
        <v>95.594282</v>
      </c>
      <c r="I36" s="14">
        <v>1.0</v>
      </c>
      <c r="J36" s="14">
        <v>0.920430993215053</v>
      </c>
      <c r="K36" s="14">
        <v>1.0</v>
      </c>
      <c r="L36" s="14"/>
      <c r="M36" s="14" t="b">
        <v>1</v>
      </c>
      <c r="N36" s="14">
        <f t="shared" si="4"/>
        <v>0.03053757435</v>
      </c>
    </row>
    <row r="37" ht="15.75" customHeight="1">
      <c r="A37" s="14" t="s">
        <v>18</v>
      </c>
      <c r="B37" s="14" t="s">
        <v>37</v>
      </c>
      <c r="C37" s="14">
        <v>255.645408</v>
      </c>
      <c r="D37" s="14">
        <v>50024.963033</v>
      </c>
      <c r="E37" s="14">
        <v>3483.119524</v>
      </c>
      <c r="F37" s="14">
        <v>9.562535</v>
      </c>
      <c r="G37" s="14">
        <v>27.212951</v>
      </c>
      <c r="H37" s="14">
        <v>282.084218</v>
      </c>
      <c r="I37" s="14">
        <v>1.0</v>
      </c>
      <c r="J37" s="14">
        <v>0.922217957156093</v>
      </c>
      <c r="K37" s="14">
        <v>1.0</v>
      </c>
      <c r="L37" s="14"/>
      <c r="M37" s="14" t="b">
        <v>1</v>
      </c>
      <c r="N37" s="14">
        <f t="shared" si="4"/>
        <v>0.2895781103</v>
      </c>
    </row>
    <row r="38" ht="15.75" customHeight="1">
      <c r="A38" s="13"/>
      <c r="B38" s="13"/>
      <c r="C38" s="13"/>
      <c r="D38" s="13"/>
      <c r="E38" s="13"/>
      <c r="F38" s="13"/>
      <c r="L38" s="13"/>
      <c r="N38" s="13"/>
    </row>
    <row r="39" ht="15.75" customHeight="1">
      <c r="A39" s="13"/>
      <c r="B39" s="13"/>
      <c r="C39" s="13"/>
      <c r="D39" s="13"/>
      <c r="E39" s="13"/>
      <c r="F39" s="13"/>
      <c r="L39" s="13"/>
      <c r="N39" s="13"/>
    </row>
    <row r="40" ht="15.75" customHeight="1">
      <c r="A40" s="13"/>
      <c r="B40" s="13"/>
      <c r="C40" s="13"/>
      <c r="D40" s="13"/>
      <c r="E40" s="13"/>
      <c r="F40" s="13"/>
      <c r="L40" s="13"/>
      <c r="N40" s="13"/>
    </row>
    <row r="41" ht="15.75" customHeight="1">
      <c r="A41" s="13"/>
      <c r="B41" s="13"/>
      <c r="C41" s="13"/>
      <c r="D41" s="13"/>
      <c r="E41" s="13"/>
      <c r="F41" s="13"/>
      <c r="L41" s="13"/>
      <c r="N41" s="13"/>
    </row>
    <row r="42" ht="15.75" customHeight="1">
      <c r="A42" s="13"/>
      <c r="B42" s="13"/>
      <c r="C42" s="13"/>
      <c r="D42" s="13"/>
      <c r="E42" s="13"/>
      <c r="F42" s="13"/>
      <c r="L42" s="13"/>
      <c r="N42" s="13"/>
    </row>
    <row r="43" ht="15.75" customHeight="1">
      <c r="A43" s="13"/>
      <c r="B43" s="13"/>
      <c r="C43" s="13"/>
      <c r="D43" s="13"/>
      <c r="E43" s="13"/>
      <c r="F43" s="13"/>
      <c r="L43" s="13"/>
      <c r="N43" s="13"/>
    </row>
    <row r="44" ht="15.75" customHeight="1">
      <c r="A44" s="13"/>
      <c r="B44" s="13"/>
      <c r="C44" s="13"/>
      <c r="D44" s="13"/>
      <c r="E44" s="13"/>
      <c r="F44" s="13"/>
      <c r="L44" s="13"/>
      <c r="N44" s="13"/>
    </row>
    <row r="45" ht="15.75" customHeight="1">
      <c r="A45" s="13"/>
      <c r="B45" s="13"/>
      <c r="C45" s="13"/>
      <c r="D45" s="13"/>
      <c r="E45" s="13"/>
      <c r="F45" s="13"/>
      <c r="L45" s="13"/>
      <c r="N45" s="13"/>
    </row>
    <row r="46" ht="15.75" customHeight="1">
      <c r="A46" s="13"/>
      <c r="B46" s="13"/>
      <c r="C46" s="13"/>
      <c r="D46" s="13"/>
      <c r="E46" s="13"/>
      <c r="F46" s="13"/>
      <c r="L46" s="13"/>
      <c r="N46" s="13"/>
    </row>
    <row r="47" ht="15.75" customHeight="1">
      <c r="A47" s="13"/>
      <c r="B47" s="13"/>
      <c r="C47" s="13"/>
      <c r="D47" s="13"/>
      <c r="E47" s="13"/>
      <c r="F47" s="13"/>
      <c r="L47" s="13"/>
      <c r="N47" s="13"/>
    </row>
    <row r="48" ht="15.75" customHeight="1">
      <c r="A48" s="13"/>
      <c r="B48" s="13"/>
      <c r="C48" s="13"/>
      <c r="D48" s="13"/>
      <c r="E48" s="13"/>
      <c r="F48" s="13"/>
      <c r="L48" s="13"/>
      <c r="N48" s="13"/>
    </row>
    <row r="49" ht="15.75" customHeight="1">
      <c r="A49" s="13"/>
      <c r="B49" s="13"/>
      <c r="C49" s="13"/>
      <c r="D49" s="13"/>
      <c r="E49" s="13"/>
      <c r="F49" s="13"/>
      <c r="L49" s="13"/>
      <c r="N49" s="13"/>
    </row>
    <row r="50" ht="15.75" customHeight="1">
      <c r="A50" s="13"/>
      <c r="B50" s="13"/>
      <c r="C50" s="13"/>
      <c r="D50" s="13"/>
      <c r="E50" s="13"/>
      <c r="F50" s="13"/>
      <c r="L50" s="13"/>
      <c r="N50" s="13"/>
    </row>
    <row r="51" ht="15.75" customHeight="1">
      <c r="A51" s="13"/>
      <c r="B51" s="13"/>
      <c r="C51" s="13"/>
      <c r="D51" s="13"/>
      <c r="E51" s="13"/>
      <c r="F51" s="13"/>
      <c r="L51" s="13"/>
      <c r="N51" s="13"/>
    </row>
    <row r="52" ht="15.75" customHeight="1">
      <c r="A52" s="13"/>
      <c r="B52" s="13"/>
      <c r="C52" s="13"/>
      <c r="D52" s="13"/>
      <c r="E52" s="13"/>
      <c r="F52" s="13"/>
      <c r="L52" s="13"/>
      <c r="N52" s="13"/>
    </row>
    <row r="53" ht="15.75" customHeight="1">
      <c r="A53" s="13"/>
      <c r="B53" s="13"/>
      <c r="C53" s="13"/>
      <c r="D53" s="13"/>
      <c r="E53" s="13"/>
      <c r="F53" s="13"/>
      <c r="L53" s="13"/>
      <c r="N53" s="13"/>
    </row>
    <row r="54" ht="15.75" customHeight="1">
      <c r="A54" s="13"/>
      <c r="B54" s="13"/>
      <c r="C54" s="13"/>
      <c r="D54" s="13"/>
      <c r="E54" s="13"/>
      <c r="F54" s="13"/>
      <c r="L54" s="13"/>
      <c r="N54" s="13"/>
    </row>
    <row r="55" ht="15.75" customHeight="1">
      <c r="A55" s="13"/>
      <c r="B55" s="13"/>
      <c r="C55" s="13"/>
      <c r="D55" s="13"/>
      <c r="E55" s="13"/>
      <c r="F55" s="13"/>
      <c r="L55" s="13"/>
      <c r="N55" s="13"/>
    </row>
    <row r="56" ht="15.75" customHeight="1">
      <c r="A56" s="13"/>
      <c r="B56" s="13"/>
      <c r="C56" s="13"/>
      <c r="D56" s="13"/>
      <c r="E56" s="13"/>
      <c r="F56" s="13"/>
      <c r="L56" s="13"/>
      <c r="N56" s="13"/>
    </row>
    <row r="57" ht="15.75" customHeight="1">
      <c r="A57" s="13"/>
      <c r="B57" s="13"/>
      <c r="C57" s="13"/>
      <c r="D57" s="13"/>
      <c r="E57" s="13"/>
      <c r="F57" s="13"/>
      <c r="L57" s="13"/>
      <c r="N57" s="13"/>
    </row>
    <row r="58" ht="15.75" customHeight="1">
      <c r="A58" s="13"/>
      <c r="B58" s="13"/>
      <c r="C58" s="13"/>
      <c r="D58" s="13"/>
      <c r="E58" s="13"/>
      <c r="F58" s="13"/>
      <c r="L58" s="13"/>
      <c r="N58" s="13"/>
    </row>
    <row r="59" ht="15.75" customHeight="1">
      <c r="A59" s="13"/>
      <c r="B59" s="13"/>
      <c r="C59" s="13"/>
      <c r="D59" s="13"/>
      <c r="E59" s="13"/>
      <c r="F59" s="13"/>
      <c r="L59" s="13"/>
      <c r="N59" s="13"/>
    </row>
    <row r="60" ht="15.75" customHeight="1">
      <c r="A60" s="13"/>
      <c r="B60" s="13"/>
      <c r="C60" s="13"/>
      <c r="D60" s="13"/>
      <c r="E60" s="13"/>
      <c r="F60" s="13"/>
      <c r="L60" s="13"/>
      <c r="N60" s="13"/>
    </row>
    <row r="61" ht="15.75" customHeight="1">
      <c r="A61" s="13"/>
      <c r="B61" s="13"/>
      <c r="C61" s="13"/>
      <c r="D61" s="13"/>
      <c r="E61" s="13"/>
      <c r="F61" s="13"/>
      <c r="L61" s="13"/>
      <c r="N61" s="13"/>
    </row>
    <row r="62" ht="15.75" customHeight="1">
      <c r="A62" s="13"/>
      <c r="B62" s="13"/>
      <c r="C62" s="13"/>
      <c r="D62" s="13"/>
      <c r="E62" s="13"/>
      <c r="F62" s="13"/>
      <c r="L62" s="13"/>
      <c r="N62" s="13"/>
    </row>
    <row r="63" ht="15.75" customHeight="1">
      <c r="A63" s="13"/>
      <c r="B63" s="13"/>
      <c r="C63" s="13"/>
      <c r="D63" s="13"/>
      <c r="E63" s="13"/>
      <c r="F63" s="13"/>
      <c r="L63" s="13"/>
      <c r="N63" s="13"/>
    </row>
    <row r="64" ht="15.75" customHeight="1">
      <c r="A64" s="13"/>
      <c r="B64" s="13"/>
      <c r="C64" s="13"/>
      <c r="D64" s="13"/>
      <c r="E64" s="13"/>
      <c r="F64" s="13"/>
      <c r="L64" s="13"/>
      <c r="N64" s="13"/>
    </row>
    <row r="65" ht="15.75" customHeight="1">
      <c r="A65" s="13"/>
      <c r="B65" s="13"/>
      <c r="C65" s="13"/>
      <c r="D65" s="13"/>
      <c r="E65" s="13"/>
      <c r="F65" s="13"/>
      <c r="L65" s="13"/>
      <c r="N65" s="13"/>
    </row>
    <row r="66" ht="15.75" customHeight="1">
      <c r="A66" s="13"/>
      <c r="B66" s="13"/>
      <c r="C66" s="13"/>
      <c r="D66" s="13"/>
      <c r="E66" s="13"/>
      <c r="F66" s="13"/>
      <c r="L66" s="13"/>
      <c r="N66" s="13"/>
    </row>
    <row r="67" ht="15.75" customHeight="1">
      <c r="A67" s="13"/>
      <c r="B67" s="13"/>
      <c r="C67" s="13"/>
      <c r="D67" s="13"/>
      <c r="E67" s="13"/>
      <c r="F67" s="13"/>
      <c r="L67" s="13"/>
      <c r="N67" s="13"/>
    </row>
    <row r="68" ht="15.75" customHeight="1">
      <c r="A68" s="13"/>
      <c r="B68" s="13"/>
      <c r="C68" s="13"/>
      <c r="D68" s="13"/>
      <c r="E68" s="13"/>
      <c r="F68" s="13"/>
      <c r="L68" s="13"/>
      <c r="N68" s="13"/>
    </row>
    <row r="69" ht="15.75" customHeight="1">
      <c r="A69" s="13"/>
      <c r="B69" s="13"/>
      <c r="C69" s="13"/>
      <c r="D69" s="13"/>
      <c r="E69" s="13"/>
      <c r="F69" s="13"/>
      <c r="L69" s="13"/>
      <c r="N69" s="13"/>
    </row>
    <row r="70" ht="15.75" customHeight="1">
      <c r="A70" s="13"/>
      <c r="B70" s="13"/>
      <c r="C70" s="13"/>
      <c r="D70" s="13"/>
      <c r="E70" s="13"/>
      <c r="F70" s="13"/>
      <c r="L70" s="13"/>
      <c r="N70" s="13"/>
    </row>
    <row r="71" ht="15.75" customHeight="1">
      <c r="A71" s="13"/>
      <c r="B71" s="13"/>
      <c r="C71" s="13"/>
      <c r="D71" s="13"/>
      <c r="E71" s="13"/>
      <c r="F71" s="13"/>
      <c r="L71" s="13"/>
      <c r="N71" s="13"/>
    </row>
    <row r="72" ht="15.75" customHeight="1">
      <c r="A72" s="13"/>
      <c r="B72" s="13"/>
      <c r="C72" s="13"/>
      <c r="D72" s="13"/>
      <c r="E72" s="13"/>
      <c r="F72" s="13"/>
      <c r="L72" s="13"/>
      <c r="N72" s="13"/>
    </row>
    <row r="73" ht="15.75" customHeight="1">
      <c r="A73" s="13"/>
      <c r="B73" s="13"/>
      <c r="C73" s="13"/>
      <c r="D73" s="13"/>
      <c r="E73" s="13"/>
      <c r="F73" s="13"/>
      <c r="L73" s="13"/>
      <c r="N73" s="13"/>
    </row>
    <row r="74" ht="15.75" customHeight="1">
      <c r="A74" s="13"/>
      <c r="B74" s="13"/>
      <c r="C74" s="13"/>
      <c r="D74" s="13"/>
      <c r="E74" s="13"/>
      <c r="F74" s="13"/>
      <c r="L74" s="13"/>
      <c r="N74" s="13"/>
    </row>
    <row r="75" ht="15.75" customHeight="1">
      <c r="A75" s="13"/>
      <c r="B75" s="13"/>
      <c r="C75" s="13"/>
      <c r="D75" s="13"/>
      <c r="E75" s="13"/>
      <c r="F75" s="13"/>
      <c r="L75" s="13"/>
      <c r="N75" s="13"/>
    </row>
    <row r="76" ht="15.75" customHeight="1">
      <c r="A76" s="13"/>
      <c r="B76" s="13"/>
      <c r="C76" s="13"/>
      <c r="D76" s="13"/>
      <c r="E76" s="13"/>
      <c r="F76" s="13"/>
      <c r="L76" s="13"/>
      <c r="N76" s="13"/>
    </row>
    <row r="77" ht="15.75" customHeight="1">
      <c r="A77" s="13"/>
      <c r="B77" s="13"/>
      <c r="C77" s="13"/>
      <c r="D77" s="13"/>
      <c r="E77" s="13"/>
      <c r="F77" s="13"/>
      <c r="L77" s="13"/>
      <c r="N77" s="13"/>
    </row>
    <row r="78" ht="15.75" customHeight="1">
      <c r="A78" s="13"/>
      <c r="B78" s="13"/>
      <c r="C78" s="13"/>
      <c r="D78" s="13"/>
      <c r="E78" s="13"/>
      <c r="F78" s="13"/>
      <c r="L78" s="13"/>
      <c r="N78" s="13"/>
    </row>
    <row r="79" ht="15.75" customHeight="1">
      <c r="A79" s="13"/>
      <c r="B79" s="13"/>
      <c r="C79" s="13"/>
      <c r="D79" s="13"/>
      <c r="E79" s="13"/>
      <c r="F79" s="13"/>
      <c r="L79" s="13"/>
      <c r="N79" s="13"/>
    </row>
    <row r="80" ht="15.75" customHeight="1">
      <c r="A80" s="13"/>
      <c r="B80" s="13"/>
      <c r="C80" s="13"/>
      <c r="D80" s="13"/>
      <c r="E80" s="13"/>
      <c r="F80" s="13"/>
      <c r="L80" s="13"/>
      <c r="N80" s="13"/>
    </row>
    <row r="81" ht="15.75" customHeight="1">
      <c r="A81" s="13"/>
      <c r="B81" s="13"/>
      <c r="C81" s="13"/>
      <c r="D81" s="13"/>
      <c r="E81" s="13"/>
      <c r="F81" s="13"/>
      <c r="L81" s="13"/>
      <c r="N81" s="13"/>
    </row>
    <row r="82" ht="15.75" customHeight="1">
      <c r="A82" s="13"/>
      <c r="B82" s="13"/>
      <c r="C82" s="13"/>
      <c r="D82" s="13"/>
      <c r="E82" s="13"/>
      <c r="F82" s="13"/>
      <c r="L82" s="13"/>
      <c r="N82" s="13"/>
    </row>
    <row r="83" ht="15.75" customHeight="1">
      <c r="A83" s="13"/>
      <c r="B83" s="13"/>
      <c r="C83" s="13"/>
      <c r="D83" s="13"/>
      <c r="E83" s="13"/>
      <c r="F83" s="13"/>
      <c r="L83" s="13"/>
      <c r="N83" s="13"/>
    </row>
    <row r="84" ht="15.75" customHeight="1">
      <c r="A84" s="13"/>
      <c r="B84" s="13"/>
      <c r="C84" s="13"/>
      <c r="D84" s="13"/>
      <c r="E84" s="13"/>
      <c r="F84" s="13"/>
      <c r="L84" s="13"/>
      <c r="N84" s="13"/>
    </row>
    <row r="85" ht="15.75" customHeight="1">
      <c r="A85" s="13"/>
      <c r="B85" s="13"/>
      <c r="C85" s="13"/>
      <c r="D85" s="13"/>
      <c r="E85" s="13"/>
      <c r="F85" s="13"/>
      <c r="L85" s="13"/>
      <c r="N85" s="13"/>
    </row>
    <row r="86" ht="15.75" customHeight="1">
      <c r="A86" s="13"/>
      <c r="B86" s="13"/>
      <c r="C86" s="13"/>
      <c r="D86" s="13"/>
      <c r="E86" s="13"/>
      <c r="F86" s="13"/>
      <c r="L86" s="13"/>
      <c r="N86" s="13"/>
    </row>
    <row r="87" ht="15.75" customHeight="1">
      <c r="A87" s="13"/>
      <c r="B87" s="13"/>
      <c r="C87" s="13"/>
      <c r="D87" s="13"/>
      <c r="E87" s="13"/>
      <c r="F87" s="13"/>
      <c r="L87" s="13"/>
      <c r="N87" s="13"/>
    </row>
    <row r="88" ht="15.75" customHeight="1">
      <c r="A88" s="13"/>
      <c r="B88" s="13"/>
      <c r="C88" s="13"/>
      <c r="D88" s="13"/>
      <c r="E88" s="13"/>
      <c r="F88" s="13"/>
      <c r="L88" s="13"/>
      <c r="N88" s="13"/>
    </row>
    <row r="89" ht="15.75" customHeight="1">
      <c r="A89" s="13"/>
      <c r="B89" s="13"/>
      <c r="C89" s="13"/>
      <c r="D89" s="13"/>
      <c r="E89" s="13"/>
      <c r="F89" s="13"/>
      <c r="L89" s="13"/>
      <c r="N89" s="13"/>
    </row>
    <row r="90" ht="15.75" customHeight="1">
      <c r="A90" s="13"/>
      <c r="B90" s="13"/>
      <c r="C90" s="13"/>
      <c r="D90" s="13"/>
      <c r="E90" s="13"/>
      <c r="F90" s="13"/>
      <c r="L90" s="13"/>
      <c r="N90" s="13"/>
    </row>
    <row r="91" ht="15.75" customHeight="1">
      <c r="A91" s="13"/>
      <c r="B91" s="13"/>
      <c r="C91" s="13"/>
      <c r="D91" s="13"/>
      <c r="E91" s="13"/>
      <c r="F91" s="13"/>
      <c r="L91" s="13"/>
      <c r="N91" s="13"/>
    </row>
    <row r="92" ht="15.75" customHeight="1">
      <c r="A92" s="13"/>
      <c r="B92" s="13"/>
      <c r="C92" s="13"/>
      <c r="D92" s="13"/>
      <c r="E92" s="13"/>
      <c r="F92" s="13"/>
      <c r="L92" s="13"/>
      <c r="N92" s="13"/>
    </row>
    <row r="93" ht="15.75" customHeight="1">
      <c r="A93" s="13"/>
      <c r="B93" s="13"/>
      <c r="C93" s="13"/>
      <c r="D93" s="13"/>
      <c r="E93" s="13"/>
      <c r="F93" s="13"/>
      <c r="L93" s="13"/>
      <c r="N93" s="13"/>
    </row>
    <row r="94" ht="15.75" customHeight="1">
      <c r="A94" s="13"/>
      <c r="B94" s="13"/>
      <c r="C94" s="13"/>
      <c r="D94" s="13"/>
      <c r="E94" s="13"/>
      <c r="F94" s="13"/>
      <c r="L94" s="13"/>
      <c r="N94" s="13"/>
    </row>
    <row r="95" ht="15.75" customHeight="1">
      <c r="A95" s="13"/>
      <c r="B95" s="13"/>
      <c r="C95" s="13"/>
      <c r="D95" s="13"/>
      <c r="E95" s="13"/>
      <c r="F95" s="13"/>
      <c r="L95" s="13"/>
      <c r="N95" s="13"/>
    </row>
    <row r="96" ht="15.75" customHeight="1">
      <c r="A96" s="13"/>
      <c r="B96" s="13"/>
      <c r="C96" s="13"/>
      <c r="D96" s="13"/>
      <c r="E96" s="13"/>
      <c r="F96" s="13"/>
      <c r="L96" s="13"/>
      <c r="N96" s="13"/>
    </row>
    <row r="97" ht="15.75" customHeight="1">
      <c r="A97" s="13"/>
      <c r="B97" s="13"/>
      <c r="C97" s="13"/>
      <c r="D97" s="13"/>
      <c r="E97" s="13"/>
      <c r="F97" s="13"/>
      <c r="L97" s="13"/>
      <c r="N97" s="13"/>
    </row>
    <row r="98" ht="15.75" customHeight="1">
      <c r="A98" s="13"/>
      <c r="B98" s="13"/>
      <c r="C98" s="13"/>
      <c r="D98" s="13"/>
      <c r="E98" s="13"/>
      <c r="F98" s="13"/>
      <c r="L98" s="13"/>
      <c r="N98" s="13"/>
    </row>
    <row r="99" ht="15.75" customHeight="1">
      <c r="A99" s="13"/>
      <c r="B99" s="13"/>
      <c r="C99" s="13"/>
      <c r="D99" s="13"/>
      <c r="E99" s="13"/>
      <c r="F99" s="13"/>
      <c r="L99" s="13"/>
      <c r="N99" s="13"/>
    </row>
    <row r="100" ht="15.75" customHeight="1">
      <c r="A100" s="13"/>
      <c r="B100" s="13"/>
      <c r="C100" s="13"/>
      <c r="D100" s="13"/>
      <c r="E100" s="13"/>
      <c r="F100" s="13"/>
      <c r="L100" s="13"/>
      <c r="N100" s="13"/>
    </row>
    <row r="101" ht="15.75" customHeight="1">
      <c r="A101" s="13"/>
      <c r="B101" s="13"/>
      <c r="C101" s="13"/>
      <c r="D101" s="13"/>
      <c r="E101" s="13"/>
      <c r="F101" s="13"/>
      <c r="L101" s="13"/>
      <c r="N101" s="13"/>
    </row>
    <row r="102" ht="15.75" customHeight="1">
      <c r="A102" s="13"/>
      <c r="B102" s="13"/>
      <c r="C102" s="13"/>
      <c r="D102" s="13"/>
      <c r="E102" s="13"/>
      <c r="F102" s="13"/>
      <c r="L102" s="13"/>
      <c r="N102" s="13"/>
    </row>
    <row r="103" ht="15.75" customHeight="1">
      <c r="A103" s="13"/>
      <c r="B103" s="13"/>
      <c r="C103" s="13"/>
      <c r="D103" s="13"/>
      <c r="E103" s="13"/>
      <c r="F103" s="13"/>
      <c r="L103" s="13"/>
      <c r="N103" s="13"/>
    </row>
    <row r="104" ht="15.75" customHeight="1">
      <c r="A104" s="13"/>
      <c r="B104" s="13"/>
      <c r="C104" s="13"/>
      <c r="D104" s="13"/>
      <c r="E104" s="13"/>
      <c r="F104" s="13"/>
      <c r="L104" s="13"/>
      <c r="N104" s="13"/>
    </row>
    <row r="105" ht="15.75" customHeight="1">
      <c r="A105" s="13"/>
      <c r="B105" s="13"/>
      <c r="C105" s="13"/>
      <c r="D105" s="13"/>
      <c r="E105" s="13"/>
      <c r="F105" s="13"/>
      <c r="L105" s="13"/>
      <c r="N105" s="13"/>
    </row>
    <row r="106" ht="15.75" customHeight="1">
      <c r="A106" s="13"/>
      <c r="B106" s="13"/>
      <c r="C106" s="13"/>
      <c r="D106" s="13"/>
      <c r="E106" s="13"/>
      <c r="F106" s="13"/>
      <c r="L106" s="13"/>
      <c r="N106" s="13"/>
    </row>
    <row r="107" ht="15.75" customHeight="1">
      <c r="A107" s="13"/>
      <c r="B107" s="13"/>
      <c r="C107" s="13"/>
      <c r="D107" s="13"/>
      <c r="E107" s="13"/>
      <c r="F107" s="13"/>
      <c r="L107" s="13"/>
      <c r="N107" s="13"/>
    </row>
    <row r="108" ht="15.75" customHeight="1">
      <c r="A108" s="13"/>
      <c r="B108" s="13"/>
      <c r="C108" s="13"/>
      <c r="D108" s="13"/>
      <c r="E108" s="13"/>
      <c r="F108" s="13"/>
      <c r="L108" s="13"/>
      <c r="N108" s="13"/>
    </row>
    <row r="109" ht="15.75" customHeight="1">
      <c r="A109" s="13"/>
      <c r="B109" s="13"/>
      <c r="C109" s="13"/>
      <c r="D109" s="13"/>
      <c r="E109" s="13"/>
      <c r="F109" s="13"/>
      <c r="L109" s="13"/>
      <c r="N109" s="13"/>
    </row>
    <row r="110" ht="15.75" customHeight="1">
      <c r="A110" s="13"/>
      <c r="B110" s="13"/>
      <c r="C110" s="13"/>
      <c r="D110" s="13"/>
      <c r="E110" s="13"/>
      <c r="F110" s="13"/>
      <c r="L110" s="13"/>
      <c r="N110" s="13"/>
    </row>
    <row r="111" ht="15.75" customHeight="1">
      <c r="A111" s="13"/>
      <c r="B111" s="13"/>
      <c r="C111" s="13"/>
      <c r="D111" s="13"/>
      <c r="E111" s="13"/>
      <c r="F111" s="13"/>
      <c r="L111" s="13"/>
      <c r="N111" s="13"/>
    </row>
    <row r="112" ht="15.75" customHeight="1">
      <c r="A112" s="13"/>
      <c r="B112" s="13"/>
      <c r="C112" s="13"/>
      <c r="D112" s="13"/>
      <c r="E112" s="13"/>
      <c r="F112" s="13"/>
      <c r="L112" s="13"/>
      <c r="N112" s="13"/>
    </row>
    <row r="113" ht="15.75" customHeight="1">
      <c r="A113" s="13"/>
      <c r="B113" s="13"/>
      <c r="C113" s="13"/>
      <c r="D113" s="13"/>
      <c r="E113" s="13"/>
      <c r="F113" s="13"/>
      <c r="L113" s="13"/>
      <c r="N113" s="13"/>
    </row>
    <row r="114" ht="15.75" customHeight="1">
      <c r="A114" s="13"/>
      <c r="B114" s="13"/>
      <c r="C114" s="13"/>
      <c r="D114" s="13"/>
      <c r="E114" s="13"/>
      <c r="F114" s="13"/>
      <c r="L114" s="13"/>
      <c r="N114" s="13"/>
    </row>
    <row r="115" ht="15.75" customHeight="1">
      <c r="A115" s="13"/>
      <c r="B115" s="13"/>
      <c r="C115" s="13"/>
      <c r="D115" s="13"/>
      <c r="E115" s="13"/>
      <c r="F115" s="13"/>
      <c r="L115" s="13"/>
      <c r="N115" s="13"/>
    </row>
    <row r="116" ht="15.75" customHeight="1">
      <c r="A116" s="13"/>
      <c r="B116" s="13"/>
      <c r="C116" s="13"/>
      <c r="D116" s="13"/>
      <c r="E116" s="13"/>
      <c r="F116" s="13"/>
      <c r="L116" s="13"/>
      <c r="N116" s="13"/>
    </row>
    <row r="117" ht="15.75" customHeight="1">
      <c r="A117" s="13"/>
      <c r="B117" s="13"/>
      <c r="C117" s="13"/>
      <c r="D117" s="13"/>
      <c r="E117" s="13"/>
      <c r="F117" s="13"/>
      <c r="L117" s="13"/>
      <c r="N117" s="13"/>
    </row>
    <row r="118" ht="15.75" customHeight="1">
      <c r="A118" s="13"/>
      <c r="B118" s="13"/>
      <c r="C118" s="13"/>
      <c r="D118" s="13"/>
      <c r="E118" s="13"/>
      <c r="F118" s="13"/>
      <c r="L118" s="13"/>
      <c r="N118" s="13"/>
    </row>
    <row r="119" ht="15.75" customHeight="1">
      <c r="A119" s="13"/>
      <c r="B119" s="13"/>
      <c r="C119" s="13"/>
      <c r="D119" s="13"/>
      <c r="E119" s="13"/>
      <c r="F119" s="13"/>
      <c r="L119" s="13"/>
      <c r="N119" s="13"/>
    </row>
    <row r="120" ht="15.75" customHeight="1">
      <c r="A120" s="13"/>
      <c r="B120" s="13"/>
      <c r="C120" s="13"/>
      <c r="D120" s="13"/>
      <c r="E120" s="13"/>
      <c r="F120" s="13"/>
      <c r="L120" s="13"/>
      <c r="N120" s="13"/>
    </row>
    <row r="121" ht="15.75" customHeight="1">
      <c r="A121" s="13"/>
      <c r="B121" s="13"/>
      <c r="C121" s="13"/>
      <c r="D121" s="13"/>
      <c r="E121" s="13"/>
      <c r="F121" s="13"/>
      <c r="L121" s="13"/>
      <c r="N121" s="13"/>
    </row>
    <row r="122" ht="15.75" customHeight="1">
      <c r="A122" s="13"/>
      <c r="B122" s="13"/>
      <c r="C122" s="13"/>
      <c r="D122" s="13"/>
      <c r="E122" s="13"/>
      <c r="F122" s="13"/>
      <c r="L122" s="13"/>
      <c r="N122" s="13"/>
    </row>
    <row r="123" ht="15.75" customHeight="1">
      <c r="A123" s="13"/>
      <c r="B123" s="13"/>
      <c r="C123" s="13"/>
      <c r="D123" s="13"/>
      <c r="E123" s="13"/>
      <c r="F123" s="13"/>
      <c r="L123" s="13"/>
      <c r="N123" s="13"/>
    </row>
    <row r="124" ht="15.75" customHeight="1">
      <c r="A124" s="13"/>
      <c r="B124" s="13"/>
      <c r="C124" s="13"/>
      <c r="D124" s="13"/>
      <c r="E124" s="13"/>
      <c r="F124" s="13"/>
      <c r="L124" s="13"/>
      <c r="N124" s="13"/>
    </row>
    <row r="125" ht="15.75" customHeight="1">
      <c r="A125" s="13"/>
      <c r="B125" s="13"/>
      <c r="C125" s="13"/>
      <c r="D125" s="13"/>
      <c r="E125" s="13"/>
      <c r="F125" s="13"/>
      <c r="L125" s="13"/>
      <c r="N125" s="13"/>
    </row>
    <row r="126" ht="15.75" customHeight="1">
      <c r="A126" s="13"/>
      <c r="B126" s="13"/>
      <c r="C126" s="13"/>
      <c r="D126" s="13"/>
      <c r="E126" s="13"/>
      <c r="F126" s="13"/>
      <c r="L126" s="13"/>
      <c r="N126" s="13"/>
    </row>
    <row r="127" ht="15.75" customHeight="1">
      <c r="A127" s="13"/>
      <c r="B127" s="13"/>
      <c r="C127" s="13"/>
      <c r="D127" s="13"/>
      <c r="E127" s="13"/>
      <c r="F127" s="13"/>
      <c r="L127" s="13"/>
      <c r="N127" s="13"/>
    </row>
    <row r="128" ht="15.75" customHeight="1">
      <c r="A128" s="13"/>
      <c r="B128" s="13"/>
      <c r="C128" s="13"/>
      <c r="D128" s="13"/>
      <c r="E128" s="13"/>
      <c r="F128" s="13"/>
      <c r="L128" s="13"/>
      <c r="N128" s="13"/>
    </row>
    <row r="129" ht="15.75" customHeight="1">
      <c r="A129" s="13"/>
      <c r="B129" s="13"/>
      <c r="C129" s="13"/>
      <c r="D129" s="13"/>
      <c r="E129" s="13"/>
      <c r="F129" s="13"/>
      <c r="L129" s="13"/>
      <c r="N129" s="13"/>
    </row>
    <row r="130" ht="15.75" customHeight="1">
      <c r="A130" s="13"/>
      <c r="B130" s="13"/>
      <c r="C130" s="13"/>
      <c r="D130" s="13"/>
      <c r="E130" s="13"/>
      <c r="F130" s="13"/>
      <c r="L130" s="13"/>
      <c r="N130" s="13"/>
    </row>
    <row r="131" ht="15.75" customHeight="1">
      <c r="A131" s="13"/>
      <c r="B131" s="13"/>
      <c r="C131" s="13"/>
      <c r="D131" s="13"/>
      <c r="E131" s="13"/>
      <c r="F131" s="13"/>
      <c r="L131" s="13"/>
      <c r="N131" s="13"/>
    </row>
    <row r="132" ht="15.75" customHeight="1">
      <c r="A132" s="13"/>
      <c r="B132" s="13"/>
      <c r="C132" s="13"/>
      <c r="D132" s="13"/>
      <c r="E132" s="13"/>
      <c r="F132" s="13"/>
      <c r="L132" s="13"/>
      <c r="N132" s="13"/>
    </row>
    <row r="133" ht="15.75" customHeight="1">
      <c r="A133" s="13"/>
      <c r="B133" s="13"/>
      <c r="C133" s="13"/>
      <c r="D133" s="13"/>
      <c r="E133" s="13"/>
      <c r="F133" s="13"/>
      <c r="L133" s="13"/>
      <c r="N133" s="13"/>
    </row>
    <row r="134" ht="15.75" customHeight="1">
      <c r="A134" s="13"/>
      <c r="B134" s="13"/>
      <c r="C134" s="13"/>
      <c r="D134" s="13"/>
      <c r="E134" s="13"/>
      <c r="F134" s="13"/>
      <c r="L134" s="13"/>
      <c r="N134" s="13"/>
    </row>
    <row r="135" ht="15.75" customHeight="1">
      <c r="A135" s="13"/>
      <c r="B135" s="13"/>
      <c r="C135" s="13"/>
      <c r="D135" s="13"/>
      <c r="E135" s="13"/>
      <c r="F135" s="13"/>
      <c r="L135" s="13"/>
      <c r="N135" s="13"/>
    </row>
    <row r="136" ht="15.75" customHeight="1">
      <c r="A136" s="13"/>
      <c r="B136" s="13"/>
      <c r="C136" s="13"/>
      <c r="D136" s="13"/>
      <c r="E136" s="13"/>
      <c r="F136" s="13"/>
      <c r="L136" s="13"/>
      <c r="N136" s="13"/>
    </row>
    <row r="137" ht="15.75" customHeight="1">
      <c r="A137" s="13"/>
      <c r="B137" s="13"/>
      <c r="C137" s="13"/>
      <c r="D137" s="13"/>
      <c r="E137" s="13"/>
      <c r="F137" s="13"/>
      <c r="L137" s="13"/>
      <c r="N137" s="13"/>
    </row>
    <row r="138" ht="15.75" customHeight="1">
      <c r="A138" s="13"/>
      <c r="B138" s="13"/>
      <c r="C138" s="13"/>
      <c r="D138" s="13"/>
      <c r="E138" s="13"/>
      <c r="F138" s="13"/>
      <c r="L138" s="13"/>
      <c r="N138" s="13"/>
    </row>
    <row r="139" ht="15.75" customHeight="1">
      <c r="A139" s="13"/>
      <c r="B139" s="13"/>
      <c r="C139" s="13"/>
      <c r="D139" s="13"/>
      <c r="E139" s="13"/>
      <c r="F139" s="13"/>
      <c r="L139" s="13"/>
      <c r="N139" s="13"/>
    </row>
    <row r="140" ht="15.75" customHeight="1">
      <c r="A140" s="13"/>
      <c r="B140" s="13"/>
      <c r="C140" s="13"/>
      <c r="D140" s="13"/>
      <c r="E140" s="13"/>
      <c r="F140" s="13"/>
      <c r="L140" s="13"/>
      <c r="N140" s="13"/>
    </row>
    <row r="141" ht="15.75" customHeight="1">
      <c r="A141" s="13"/>
      <c r="B141" s="13"/>
      <c r="C141" s="13"/>
      <c r="D141" s="13"/>
      <c r="E141" s="13"/>
      <c r="F141" s="13"/>
      <c r="L141" s="13"/>
      <c r="N141" s="13"/>
    </row>
    <row r="142" ht="15.75" customHeight="1">
      <c r="A142" s="13"/>
      <c r="B142" s="13"/>
      <c r="C142" s="13"/>
      <c r="D142" s="13"/>
      <c r="E142" s="13"/>
      <c r="F142" s="13"/>
      <c r="L142" s="13"/>
      <c r="N142" s="13"/>
    </row>
    <row r="143" ht="15.75" customHeight="1">
      <c r="A143" s="13"/>
      <c r="B143" s="13"/>
      <c r="C143" s="13"/>
      <c r="D143" s="13"/>
      <c r="E143" s="13"/>
      <c r="F143" s="13"/>
      <c r="L143" s="13"/>
      <c r="N143" s="13"/>
    </row>
    <row r="144" ht="15.75" customHeight="1">
      <c r="A144" s="13"/>
      <c r="B144" s="13"/>
      <c r="C144" s="13"/>
      <c r="D144" s="13"/>
      <c r="E144" s="13"/>
      <c r="F144" s="13"/>
      <c r="L144" s="13"/>
      <c r="N144" s="13"/>
    </row>
    <row r="145" ht="15.75" customHeight="1">
      <c r="A145" s="13"/>
      <c r="B145" s="13"/>
      <c r="C145" s="13"/>
      <c r="D145" s="13"/>
      <c r="E145" s="13"/>
      <c r="F145" s="13"/>
      <c r="L145" s="13"/>
      <c r="N145" s="13"/>
    </row>
    <row r="146" ht="15.75" customHeight="1">
      <c r="A146" s="13"/>
      <c r="B146" s="13"/>
      <c r="C146" s="13"/>
      <c r="D146" s="13"/>
      <c r="E146" s="13"/>
      <c r="F146" s="13"/>
      <c r="L146" s="13"/>
      <c r="N146" s="13"/>
    </row>
    <row r="147" ht="15.75" customHeight="1">
      <c r="A147" s="13"/>
      <c r="B147" s="13"/>
      <c r="C147" s="13"/>
      <c r="D147" s="13"/>
      <c r="E147" s="13"/>
      <c r="F147" s="13"/>
      <c r="L147" s="13"/>
      <c r="N147" s="13"/>
    </row>
    <row r="148" ht="15.75" customHeight="1">
      <c r="A148" s="13"/>
      <c r="B148" s="13"/>
      <c r="C148" s="13"/>
      <c r="D148" s="13"/>
      <c r="E148" s="13"/>
      <c r="F148" s="13"/>
      <c r="L148" s="13"/>
      <c r="N148" s="13"/>
    </row>
    <row r="149" ht="15.75" customHeight="1">
      <c r="A149" s="13"/>
      <c r="B149" s="13"/>
      <c r="C149" s="13"/>
      <c r="D149" s="13"/>
      <c r="E149" s="13"/>
      <c r="F149" s="13"/>
      <c r="L149" s="13"/>
      <c r="N149" s="13"/>
    </row>
    <row r="150" ht="15.75" customHeight="1">
      <c r="A150" s="13"/>
      <c r="B150" s="13"/>
      <c r="C150" s="13"/>
      <c r="D150" s="13"/>
      <c r="E150" s="13"/>
      <c r="F150" s="13"/>
      <c r="L150" s="13"/>
      <c r="N150" s="13"/>
    </row>
    <row r="151" ht="15.75" customHeight="1">
      <c r="A151" s="13"/>
      <c r="B151" s="13"/>
      <c r="C151" s="13"/>
      <c r="D151" s="13"/>
      <c r="E151" s="13"/>
      <c r="F151" s="13"/>
      <c r="L151" s="13"/>
      <c r="N151" s="13"/>
    </row>
    <row r="152" ht="15.75" customHeight="1">
      <c r="A152" s="13"/>
      <c r="B152" s="13"/>
      <c r="C152" s="13"/>
      <c r="D152" s="13"/>
      <c r="E152" s="13"/>
      <c r="F152" s="13"/>
      <c r="L152" s="13"/>
      <c r="N152" s="13"/>
    </row>
    <row r="153" ht="15.75" customHeight="1">
      <c r="A153" s="13"/>
      <c r="B153" s="13"/>
      <c r="C153" s="13"/>
      <c r="D153" s="13"/>
      <c r="E153" s="13"/>
      <c r="F153" s="13"/>
      <c r="L153" s="13"/>
      <c r="N153" s="13"/>
    </row>
    <row r="154" ht="15.75" customHeight="1">
      <c r="A154" s="13"/>
      <c r="B154" s="13"/>
      <c r="C154" s="13"/>
      <c r="D154" s="13"/>
      <c r="E154" s="13"/>
      <c r="F154" s="13"/>
      <c r="L154" s="13"/>
      <c r="N154" s="13"/>
    </row>
    <row r="155" ht="15.75" customHeight="1">
      <c r="A155" s="13"/>
      <c r="B155" s="13"/>
      <c r="C155" s="13"/>
      <c r="D155" s="13"/>
      <c r="E155" s="13"/>
      <c r="F155" s="13"/>
      <c r="L155" s="13"/>
      <c r="N155" s="13"/>
    </row>
    <row r="156" ht="15.75" customHeight="1">
      <c r="A156" s="13"/>
      <c r="B156" s="13"/>
      <c r="C156" s="13"/>
      <c r="D156" s="13"/>
      <c r="E156" s="13"/>
      <c r="F156" s="13"/>
      <c r="L156" s="13"/>
      <c r="N156" s="13"/>
    </row>
    <row r="157" ht="15.75" customHeight="1">
      <c r="A157" s="13"/>
      <c r="B157" s="13"/>
      <c r="C157" s="13"/>
      <c r="D157" s="13"/>
      <c r="E157" s="13"/>
      <c r="F157" s="13"/>
      <c r="L157" s="13"/>
      <c r="N157" s="13"/>
    </row>
    <row r="158" ht="15.75" customHeight="1">
      <c r="A158" s="13"/>
      <c r="B158" s="13"/>
      <c r="C158" s="13"/>
      <c r="D158" s="13"/>
      <c r="E158" s="13"/>
      <c r="F158" s="13"/>
      <c r="L158" s="13"/>
      <c r="N158" s="13"/>
    </row>
    <row r="159" ht="15.75" customHeight="1">
      <c r="A159" s="13"/>
      <c r="B159" s="13"/>
      <c r="C159" s="13"/>
      <c r="D159" s="13"/>
      <c r="E159" s="13"/>
      <c r="F159" s="13"/>
      <c r="L159" s="13"/>
      <c r="N159" s="13"/>
    </row>
    <row r="160" ht="15.75" customHeight="1">
      <c r="A160" s="13"/>
      <c r="B160" s="13"/>
      <c r="C160" s="13"/>
      <c r="D160" s="13"/>
      <c r="E160" s="13"/>
      <c r="F160" s="13"/>
      <c r="L160" s="13"/>
      <c r="N160" s="13"/>
    </row>
    <row r="161" ht="15.75" customHeight="1">
      <c r="A161" s="13"/>
      <c r="B161" s="13"/>
      <c r="C161" s="13"/>
      <c r="D161" s="13"/>
      <c r="E161" s="13"/>
      <c r="F161" s="13"/>
      <c r="L161" s="13"/>
      <c r="N161" s="13"/>
    </row>
    <row r="162" ht="15.75" customHeight="1">
      <c r="A162" s="13"/>
      <c r="B162" s="13"/>
      <c r="C162" s="13"/>
      <c r="D162" s="13"/>
      <c r="E162" s="13"/>
      <c r="F162" s="13"/>
      <c r="L162" s="13"/>
      <c r="N162" s="13"/>
    </row>
    <row r="163" ht="15.75" customHeight="1">
      <c r="A163" s="13"/>
      <c r="B163" s="13"/>
      <c r="C163" s="13"/>
      <c r="D163" s="13"/>
      <c r="E163" s="13"/>
      <c r="F163" s="13"/>
      <c r="L163" s="13"/>
      <c r="N163" s="13"/>
    </row>
    <row r="164" ht="15.75" customHeight="1">
      <c r="A164" s="13"/>
      <c r="B164" s="13"/>
      <c r="C164" s="13"/>
      <c r="D164" s="13"/>
      <c r="E164" s="13"/>
      <c r="F164" s="13"/>
      <c r="L164" s="13"/>
      <c r="N164" s="13"/>
    </row>
    <row r="165" ht="15.75" customHeight="1">
      <c r="A165" s="13"/>
      <c r="B165" s="13"/>
      <c r="C165" s="13"/>
      <c r="D165" s="13"/>
      <c r="E165" s="13"/>
      <c r="F165" s="13"/>
      <c r="L165" s="13"/>
      <c r="N165" s="13"/>
    </row>
    <row r="166" ht="15.75" customHeight="1">
      <c r="A166" s="13"/>
      <c r="B166" s="13"/>
      <c r="C166" s="13"/>
      <c r="D166" s="13"/>
      <c r="E166" s="13"/>
      <c r="F166" s="13"/>
      <c r="L166" s="13"/>
      <c r="N166" s="13"/>
    </row>
    <row r="167" ht="15.75" customHeight="1">
      <c r="A167" s="13"/>
      <c r="B167" s="13"/>
      <c r="C167" s="13"/>
      <c r="D167" s="13"/>
      <c r="E167" s="13"/>
      <c r="F167" s="13"/>
      <c r="L167" s="13"/>
      <c r="N167" s="13"/>
    </row>
    <row r="168" ht="15.75" customHeight="1">
      <c r="A168" s="13"/>
      <c r="B168" s="13"/>
      <c r="C168" s="13"/>
      <c r="D168" s="13"/>
      <c r="E168" s="13"/>
      <c r="F168" s="13"/>
      <c r="L168" s="13"/>
      <c r="N168" s="13"/>
    </row>
    <row r="169" ht="15.75" customHeight="1">
      <c r="A169" s="13"/>
      <c r="B169" s="13"/>
      <c r="C169" s="13"/>
      <c r="D169" s="13"/>
      <c r="E169" s="13"/>
      <c r="F169" s="13"/>
      <c r="L169" s="13"/>
      <c r="N169" s="13"/>
    </row>
    <row r="170" ht="15.75" customHeight="1">
      <c r="A170" s="13"/>
      <c r="B170" s="13"/>
      <c r="C170" s="13"/>
      <c r="D170" s="13"/>
      <c r="E170" s="13"/>
      <c r="F170" s="13"/>
      <c r="L170" s="13"/>
      <c r="N170" s="13"/>
    </row>
    <row r="171" ht="15.75" customHeight="1">
      <c r="A171" s="13"/>
      <c r="B171" s="13"/>
      <c r="C171" s="13"/>
      <c r="D171" s="13"/>
      <c r="E171" s="13"/>
      <c r="F171" s="13"/>
      <c r="L171" s="13"/>
      <c r="N171" s="13"/>
    </row>
    <row r="172" ht="15.75" customHeight="1">
      <c r="A172" s="13"/>
      <c r="B172" s="13"/>
      <c r="C172" s="13"/>
      <c r="D172" s="13"/>
      <c r="E172" s="13"/>
      <c r="F172" s="13"/>
      <c r="L172" s="13"/>
      <c r="N172" s="13"/>
    </row>
    <row r="173" ht="15.75" customHeight="1">
      <c r="A173" s="13"/>
      <c r="B173" s="13"/>
      <c r="C173" s="13"/>
      <c r="D173" s="13"/>
      <c r="E173" s="13"/>
      <c r="F173" s="13"/>
      <c r="L173" s="13"/>
      <c r="N173" s="13"/>
    </row>
    <row r="174" ht="15.75" customHeight="1">
      <c r="A174" s="13"/>
      <c r="B174" s="13"/>
      <c r="C174" s="13"/>
      <c r="D174" s="13"/>
      <c r="E174" s="13"/>
      <c r="F174" s="13"/>
      <c r="L174" s="13"/>
      <c r="N174" s="13"/>
    </row>
    <row r="175" ht="15.75" customHeight="1">
      <c r="A175" s="13"/>
      <c r="B175" s="13"/>
      <c r="C175" s="13"/>
      <c r="D175" s="13"/>
      <c r="E175" s="13"/>
      <c r="F175" s="13"/>
      <c r="L175" s="13"/>
      <c r="N175" s="13"/>
    </row>
    <row r="176" ht="15.75" customHeight="1">
      <c r="A176" s="13"/>
      <c r="B176" s="13"/>
      <c r="C176" s="13"/>
      <c r="D176" s="13"/>
      <c r="E176" s="13"/>
      <c r="F176" s="13"/>
      <c r="L176" s="13"/>
      <c r="N176" s="13"/>
    </row>
    <row r="177" ht="15.75" customHeight="1">
      <c r="A177" s="13"/>
      <c r="B177" s="13"/>
      <c r="C177" s="13"/>
      <c r="D177" s="13"/>
      <c r="E177" s="13"/>
      <c r="F177" s="13"/>
      <c r="L177" s="13"/>
      <c r="N177" s="13"/>
    </row>
    <row r="178" ht="15.75" customHeight="1">
      <c r="A178" s="13"/>
      <c r="B178" s="13"/>
      <c r="C178" s="13"/>
      <c r="D178" s="13"/>
      <c r="E178" s="13"/>
      <c r="F178" s="13"/>
      <c r="L178" s="13"/>
      <c r="N178" s="13"/>
    </row>
    <row r="179" ht="15.75" customHeight="1">
      <c r="A179" s="13"/>
      <c r="B179" s="13"/>
      <c r="C179" s="13"/>
      <c r="D179" s="13"/>
      <c r="E179" s="13"/>
      <c r="F179" s="13"/>
      <c r="L179" s="13"/>
      <c r="N179" s="13"/>
    </row>
    <row r="180" ht="15.75" customHeight="1">
      <c r="A180" s="13"/>
      <c r="B180" s="13"/>
      <c r="C180" s="13"/>
      <c r="D180" s="13"/>
      <c r="E180" s="13"/>
      <c r="F180" s="13"/>
      <c r="L180" s="13"/>
      <c r="N180" s="13"/>
    </row>
    <row r="181" ht="15.75" customHeight="1">
      <c r="A181" s="13"/>
      <c r="B181" s="13"/>
      <c r="C181" s="13"/>
      <c r="D181" s="13"/>
      <c r="E181" s="13"/>
      <c r="F181" s="13"/>
      <c r="L181" s="13"/>
      <c r="N181" s="13"/>
    </row>
    <row r="182" ht="15.75" customHeight="1">
      <c r="A182" s="13"/>
      <c r="B182" s="13"/>
      <c r="C182" s="13"/>
      <c r="D182" s="13"/>
      <c r="E182" s="13"/>
      <c r="F182" s="13"/>
      <c r="L182" s="13"/>
      <c r="N182" s="13"/>
    </row>
    <row r="183" ht="15.75" customHeight="1">
      <c r="A183" s="13"/>
      <c r="B183" s="13"/>
      <c r="C183" s="13"/>
      <c r="D183" s="13"/>
      <c r="E183" s="13"/>
      <c r="F183" s="13"/>
      <c r="L183" s="13"/>
      <c r="N183" s="13"/>
    </row>
    <row r="184" ht="15.75" customHeight="1">
      <c r="A184" s="13"/>
      <c r="B184" s="13"/>
      <c r="C184" s="13"/>
      <c r="D184" s="13"/>
      <c r="E184" s="13"/>
      <c r="F184" s="13"/>
      <c r="L184" s="13"/>
      <c r="N184" s="13"/>
    </row>
    <row r="185" ht="15.75" customHeight="1">
      <c r="A185" s="13"/>
      <c r="B185" s="13"/>
      <c r="C185" s="13"/>
      <c r="D185" s="13"/>
      <c r="E185" s="13"/>
      <c r="F185" s="13"/>
      <c r="L185" s="13"/>
      <c r="N185" s="13"/>
    </row>
    <row r="186" ht="15.75" customHeight="1">
      <c r="A186" s="13"/>
      <c r="B186" s="13"/>
      <c r="C186" s="13"/>
      <c r="D186" s="13"/>
      <c r="E186" s="13"/>
      <c r="F186" s="13"/>
      <c r="L186" s="13"/>
      <c r="N186" s="13"/>
    </row>
    <row r="187" ht="15.75" customHeight="1">
      <c r="A187" s="13"/>
      <c r="B187" s="13"/>
      <c r="C187" s="13"/>
      <c r="D187" s="13"/>
      <c r="E187" s="13"/>
      <c r="F187" s="13"/>
      <c r="L187" s="13"/>
      <c r="N187" s="13"/>
    </row>
    <row r="188" ht="15.75" customHeight="1">
      <c r="A188" s="13"/>
      <c r="B188" s="13"/>
      <c r="C188" s="13"/>
      <c r="D188" s="13"/>
      <c r="E188" s="13"/>
      <c r="F188" s="13"/>
      <c r="L188" s="13"/>
      <c r="N188" s="13"/>
    </row>
    <row r="189" ht="15.75" customHeight="1">
      <c r="A189" s="13"/>
      <c r="B189" s="13"/>
      <c r="C189" s="13"/>
      <c r="D189" s="13"/>
      <c r="E189" s="13"/>
      <c r="F189" s="13"/>
      <c r="L189" s="13"/>
      <c r="N189" s="13"/>
    </row>
    <row r="190" ht="15.75" customHeight="1">
      <c r="A190" s="13"/>
      <c r="B190" s="13"/>
      <c r="C190" s="13"/>
      <c r="D190" s="13"/>
      <c r="E190" s="13"/>
      <c r="F190" s="13"/>
      <c r="L190" s="13"/>
      <c r="N190" s="13"/>
    </row>
    <row r="191" ht="15.75" customHeight="1">
      <c r="A191" s="13"/>
      <c r="B191" s="13"/>
      <c r="C191" s="13"/>
      <c r="D191" s="13"/>
      <c r="E191" s="13"/>
      <c r="F191" s="13"/>
      <c r="L191" s="13"/>
      <c r="N191" s="13"/>
    </row>
    <row r="192" ht="15.75" customHeight="1">
      <c r="A192" s="13"/>
      <c r="B192" s="13"/>
      <c r="C192" s="13"/>
      <c r="D192" s="13"/>
      <c r="E192" s="13"/>
      <c r="F192" s="13"/>
      <c r="L192" s="13"/>
      <c r="N192" s="13"/>
    </row>
    <row r="193" ht="15.75" customHeight="1">
      <c r="A193" s="13"/>
      <c r="B193" s="13"/>
      <c r="C193" s="13"/>
      <c r="D193" s="13"/>
      <c r="E193" s="13"/>
      <c r="F193" s="13"/>
      <c r="L193" s="13"/>
      <c r="N193" s="13"/>
    </row>
    <row r="194" ht="15.75" customHeight="1">
      <c r="A194" s="13"/>
      <c r="B194" s="13"/>
      <c r="C194" s="13"/>
      <c r="D194" s="13"/>
      <c r="E194" s="13"/>
      <c r="F194" s="13"/>
      <c r="L194" s="13"/>
      <c r="N194" s="13"/>
    </row>
    <row r="195" ht="15.75" customHeight="1">
      <c r="A195" s="13"/>
      <c r="B195" s="13"/>
      <c r="C195" s="13"/>
      <c r="D195" s="13"/>
      <c r="E195" s="13"/>
      <c r="F195" s="13"/>
      <c r="L195" s="13"/>
      <c r="N195" s="13"/>
    </row>
    <row r="196" ht="15.75" customHeight="1">
      <c r="A196" s="13"/>
      <c r="B196" s="13"/>
      <c r="C196" s="13"/>
      <c r="D196" s="13"/>
      <c r="E196" s="13"/>
      <c r="F196" s="13"/>
      <c r="L196" s="13"/>
      <c r="N196" s="13"/>
    </row>
    <row r="197" ht="15.75" customHeight="1">
      <c r="A197" s="13"/>
      <c r="B197" s="13"/>
      <c r="C197" s="13"/>
      <c r="D197" s="13"/>
      <c r="E197" s="13"/>
      <c r="F197" s="13"/>
      <c r="L197" s="13"/>
      <c r="N197" s="13"/>
    </row>
    <row r="198" ht="15.75" customHeight="1">
      <c r="A198" s="13"/>
      <c r="B198" s="13"/>
      <c r="C198" s="13"/>
      <c r="D198" s="13"/>
      <c r="E198" s="13"/>
      <c r="F198" s="13"/>
      <c r="L198" s="13"/>
      <c r="N198" s="13"/>
    </row>
    <row r="199" ht="15.75" customHeight="1">
      <c r="A199" s="13"/>
      <c r="B199" s="13"/>
      <c r="C199" s="13"/>
      <c r="D199" s="13"/>
      <c r="E199" s="13"/>
      <c r="F199" s="13"/>
      <c r="L199" s="13"/>
      <c r="N199" s="13"/>
    </row>
    <row r="200" ht="15.75" customHeight="1">
      <c r="A200" s="13"/>
      <c r="B200" s="13"/>
      <c r="C200" s="13"/>
      <c r="D200" s="13"/>
      <c r="E200" s="13"/>
      <c r="F200" s="13"/>
      <c r="L200" s="13"/>
      <c r="N200" s="13"/>
    </row>
    <row r="201" ht="15.75" customHeight="1">
      <c r="A201" s="13"/>
      <c r="B201" s="13"/>
      <c r="C201" s="13"/>
      <c r="D201" s="13"/>
      <c r="E201" s="13"/>
      <c r="F201" s="13"/>
      <c r="L201" s="13"/>
      <c r="N201" s="13"/>
    </row>
    <row r="202" ht="15.75" customHeight="1">
      <c r="A202" s="13"/>
      <c r="B202" s="13"/>
      <c r="C202" s="13"/>
      <c r="D202" s="13"/>
      <c r="E202" s="13"/>
      <c r="F202" s="13"/>
      <c r="L202" s="13"/>
      <c r="N202" s="13"/>
    </row>
    <row r="203" ht="15.75" customHeight="1">
      <c r="A203" s="13"/>
      <c r="B203" s="13"/>
      <c r="C203" s="13"/>
      <c r="D203" s="13"/>
      <c r="E203" s="13"/>
      <c r="F203" s="13"/>
      <c r="L203" s="13"/>
      <c r="N203" s="13"/>
    </row>
    <row r="204" ht="15.75" customHeight="1">
      <c r="A204" s="13"/>
      <c r="B204" s="13"/>
      <c r="C204" s="13"/>
      <c r="D204" s="13"/>
      <c r="E204" s="13"/>
      <c r="F204" s="13"/>
      <c r="L204" s="13"/>
      <c r="N204" s="13"/>
    </row>
    <row r="205" ht="15.75" customHeight="1">
      <c r="A205" s="13"/>
      <c r="B205" s="13"/>
      <c r="C205" s="13"/>
      <c r="D205" s="13"/>
      <c r="E205" s="13"/>
      <c r="F205" s="13"/>
      <c r="L205" s="13"/>
      <c r="N205" s="13"/>
    </row>
    <row r="206" ht="15.75" customHeight="1">
      <c r="A206" s="13"/>
      <c r="B206" s="13"/>
      <c r="C206" s="13"/>
      <c r="D206" s="13"/>
      <c r="E206" s="13"/>
      <c r="F206" s="13"/>
      <c r="L206" s="13"/>
      <c r="N206" s="13"/>
    </row>
    <row r="207" ht="15.75" customHeight="1">
      <c r="A207" s="13"/>
      <c r="B207" s="13"/>
      <c r="C207" s="13"/>
      <c r="D207" s="13"/>
      <c r="E207" s="13"/>
      <c r="F207" s="13"/>
      <c r="L207" s="13"/>
      <c r="N207" s="13"/>
    </row>
    <row r="208" ht="15.75" customHeight="1">
      <c r="A208" s="13"/>
      <c r="B208" s="13"/>
      <c r="C208" s="13"/>
      <c r="D208" s="13"/>
      <c r="E208" s="13"/>
      <c r="F208" s="13"/>
      <c r="L208" s="13"/>
      <c r="N208" s="13"/>
    </row>
    <row r="209" ht="15.75" customHeight="1">
      <c r="A209" s="13"/>
      <c r="B209" s="13"/>
      <c r="C209" s="13"/>
      <c r="D209" s="13"/>
      <c r="E209" s="13"/>
      <c r="F209" s="13"/>
      <c r="L209" s="13"/>
      <c r="N209" s="13"/>
    </row>
    <row r="210" ht="15.75" customHeight="1">
      <c r="A210" s="13"/>
      <c r="B210" s="13"/>
      <c r="C210" s="13"/>
      <c r="D210" s="13"/>
      <c r="E210" s="13"/>
      <c r="F210" s="13"/>
      <c r="L210" s="13"/>
      <c r="N210" s="13"/>
    </row>
    <row r="211" ht="15.75" customHeight="1">
      <c r="A211" s="13"/>
      <c r="B211" s="13"/>
      <c r="C211" s="13"/>
      <c r="D211" s="13"/>
      <c r="E211" s="13"/>
      <c r="F211" s="13"/>
      <c r="L211" s="13"/>
      <c r="N211" s="13"/>
    </row>
    <row r="212" ht="15.75" customHeight="1">
      <c r="A212" s="13"/>
      <c r="B212" s="13"/>
      <c r="C212" s="13"/>
      <c r="D212" s="13"/>
      <c r="E212" s="13"/>
      <c r="F212" s="13"/>
      <c r="L212" s="13"/>
      <c r="N212" s="13"/>
    </row>
    <row r="213" ht="15.75" customHeight="1">
      <c r="A213" s="13"/>
      <c r="B213" s="13"/>
      <c r="C213" s="13"/>
      <c r="D213" s="13"/>
      <c r="E213" s="13"/>
      <c r="F213" s="13"/>
      <c r="L213" s="13"/>
      <c r="N213" s="13"/>
    </row>
    <row r="214" ht="15.75" customHeight="1">
      <c r="A214" s="13"/>
      <c r="B214" s="13"/>
      <c r="C214" s="13"/>
      <c r="D214" s="13"/>
      <c r="E214" s="13"/>
      <c r="F214" s="13"/>
      <c r="L214" s="13"/>
      <c r="N214" s="13"/>
    </row>
    <row r="215" ht="15.75" customHeight="1">
      <c r="A215" s="13"/>
      <c r="B215" s="13"/>
      <c r="C215" s="13"/>
      <c r="D215" s="13"/>
      <c r="E215" s="13"/>
      <c r="F215" s="13"/>
      <c r="L215" s="13"/>
      <c r="N215" s="13"/>
    </row>
    <row r="216" ht="15.75" customHeight="1">
      <c r="A216" s="13"/>
      <c r="B216" s="13"/>
      <c r="C216" s="13"/>
      <c r="D216" s="13"/>
      <c r="E216" s="13"/>
      <c r="F216" s="13"/>
      <c r="L216" s="13"/>
      <c r="N216" s="13"/>
    </row>
    <row r="217" ht="15.75" customHeight="1">
      <c r="A217" s="13"/>
      <c r="B217" s="13"/>
      <c r="C217" s="13"/>
      <c r="D217" s="13"/>
      <c r="E217" s="13"/>
      <c r="F217" s="13"/>
      <c r="L217" s="13"/>
      <c r="N217" s="13"/>
    </row>
    <row r="218" ht="15.75" customHeight="1">
      <c r="A218" s="13"/>
      <c r="B218" s="13"/>
      <c r="C218" s="13"/>
      <c r="D218" s="13"/>
      <c r="E218" s="13"/>
      <c r="F218" s="13"/>
      <c r="L218" s="13"/>
      <c r="N218" s="13"/>
    </row>
    <row r="219" ht="15.75" customHeight="1">
      <c r="A219" s="13"/>
      <c r="B219" s="13"/>
      <c r="C219" s="13"/>
      <c r="D219" s="13"/>
      <c r="E219" s="13"/>
      <c r="F219" s="13"/>
      <c r="L219" s="13"/>
      <c r="N219" s="13"/>
    </row>
    <row r="220" ht="15.75" customHeight="1">
      <c r="A220" s="13"/>
      <c r="B220" s="13"/>
      <c r="C220" s="13"/>
      <c r="D220" s="13"/>
      <c r="E220" s="13"/>
      <c r="F220" s="13"/>
      <c r="L220" s="13"/>
      <c r="N220" s="13"/>
    </row>
    <row r="221" ht="15.75" customHeight="1">
      <c r="A221" s="13"/>
      <c r="B221" s="13"/>
      <c r="C221" s="13"/>
      <c r="D221" s="13"/>
      <c r="E221" s="13"/>
      <c r="F221" s="13"/>
      <c r="L221" s="13"/>
      <c r="N221" s="13"/>
    </row>
    <row r="222" ht="15.75" customHeight="1">
      <c r="A222" s="13"/>
      <c r="B222" s="13"/>
      <c r="C222" s="13"/>
      <c r="D222" s="13"/>
      <c r="E222" s="13"/>
      <c r="F222" s="13"/>
      <c r="L222" s="13"/>
      <c r="N222" s="13"/>
    </row>
    <row r="223" ht="15.75" customHeight="1">
      <c r="A223" s="13"/>
      <c r="B223" s="13"/>
      <c r="C223" s="13"/>
      <c r="D223" s="13"/>
      <c r="E223" s="13"/>
      <c r="F223" s="13"/>
      <c r="L223" s="13"/>
      <c r="N223" s="13"/>
    </row>
    <row r="224" ht="15.75" customHeight="1">
      <c r="A224" s="13"/>
      <c r="B224" s="13"/>
      <c r="C224" s="13"/>
      <c r="D224" s="13"/>
      <c r="E224" s="13"/>
      <c r="F224" s="13"/>
      <c r="L224" s="13"/>
      <c r="N224" s="13"/>
    </row>
    <row r="225" ht="15.75" customHeight="1">
      <c r="A225" s="13"/>
      <c r="B225" s="13"/>
      <c r="C225" s="13"/>
      <c r="D225" s="13"/>
      <c r="E225" s="13"/>
      <c r="F225" s="13"/>
      <c r="L225" s="13"/>
      <c r="N225" s="13"/>
    </row>
    <row r="226" ht="15.75" customHeight="1">
      <c r="A226" s="13"/>
      <c r="B226" s="13"/>
      <c r="C226" s="13"/>
      <c r="D226" s="13"/>
      <c r="E226" s="13"/>
      <c r="F226" s="13"/>
      <c r="L226" s="13"/>
      <c r="N226" s="13"/>
    </row>
    <row r="227" ht="15.75" customHeight="1">
      <c r="A227" s="13"/>
      <c r="B227" s="13"/>
      <c r="C227" s="13"/>
      <c r="D227" s="13"/>
      <c r="E227" s="13"/>
      <c r="F227" s="13"/>
      <c r="L227" s="13"/>
      <c r="N227" s="13"/>
    </row>
    <row r="228" ht="15.75" customHeight="1">
      <c r="A228" s="13"/>
      <c r="B228" s="13"/>
      <c r="C228" s="13"/>
      <c r="D228" s="13"/>
      <c r="E228" s="13"/>
      <c r="F228" s="13"/>
      <c r="L228" s="13"/>
      <c r="N228" s="13"/>
    </row>
    <row r="229" ht="15.75" customHeight="1">
      <c r="A229" s="13"/>
      <c r="B229" s="13"/>
      <c r="C229" s="13"/>
      <c r="D229" s="13"/>
      <c r="E229" s="13"/>
      <c r="F229" s="13"/>
      <c r="L229" s="13"/>
      <c r="N229" s="13"/>
    </row>
    <row r="230" ht="15.75" customHeight="1">
      <c r="A230" s="13"/>
      <c r="B230" s="13"/>
      <c r="C230" s="13"/>
      <c r="D230" s="13"/>
      <c r="E230" s="13"/>
      <c r="F230" s="13"/>
      <c r="L230" s="13"/>
      <c r="N230" s="13"/>
    </row>
    <row r="231" ht="15.75" customHeight="1">
      <c r="A231" s="13"/>
      <c r="B231" s="13"/>
      <c r="C231" s="13"/>
      <c r="D231" s="13"/>
      <c r="E231" s="13"/>
      <c r="F231" s="13"/>
      <c r="L231" s="13"/>
      <c r="N231" s="13"/>
    </row>
    <row r="232" ht="15.75" customHeight="1">
      <c r="A232" s="13"/>
      <c r="B232" s="13"/>
      <c r="C232" s="13"/>
      <c r="D232" s="13"/>
      <c r="E232" s="13"/>
      <c r="F232" s="13"/>
      <c r="L232" s="13"/>
      <c r="N232" s="13"/>
    </row>
    <row r="233" ht="15.75" customHeight="1">
      <c r="A233" s="13"/>
      <c r="B233" s="13"/>
      <c r="C233" s="13"/>
      <c r="D233" s="13"/>
      <c r="E233" s="13"/>
      <c r="F233" s="13"/>
      <c r="L233" s="13"/>
      <c r="N233" s="13"/>
    </row>
    <row r="234" ht="15.75" customHeight="1">
      <c r="A234" s="13"/>
      <c r="B234" s="13"/>
      <c r="C234" s="13"/>
      <c r="D234" s="13"/>
      <c r="E234" s="13"/>
      <c r="F234" s="13"/>
      <c r="L234" s="13"/>
      <c r="N234" s="13"/>
    </row>
    <row r="235" ht="15.75" customHeight="1">
      <c r="A235" s="13"/>
      <c r="B235" s="13"/>
      <c r="C235" s="13"/>
      <c r="D235" s="13"/>
      <c r="E235" s="13"/>
      <c r="F235" s="13"/>
      <c r="L235" s="13"/>
      <c r="N235" s="13"/>
    </row>
    <row r="236" ht="15.75" customHeight="1">
      <c r="A236" s="13"/>
      <c r="B236" s="13"/>
      <c r="C236" s="13"/>
      <c r="D236" s="13"/>
      <c r="E236" s="13"/>
      <c r="F236" s="13"/>
      <c r="L236" s="13"/>
      <c r="N236" s="13"/>
    </row>
    <row r="237" ht="15.75" customHeight="1">
      <c r="A237" s="13"/>
      <c r="B237" s="13"/>
      <c r="C237" s="13"/>
      <c r="D237" s="13"/>
      <c r="E237" s="13"/>
      <c r="F237" s="13"/>
      <c r="L237" s="13"/>
      <c r="N237" s="13"/>
    </row>
    <row r="238" ht="15.75" customHeight="1">
      <c r="A238" s="13"/>
      <c r="B238" s="13"/>
      <c r="C238" s="13"/>
      <c r="D238" s="13"/>
      <c r="E238" s="13"/>
      <c r="F238" s="13"/>
      <c r="L238" s="13"/>
      <c r="N238" s="13"/>
    </row>
    <row r="239" ht="15.75" customHeight="1">
      <c r="A239" s="13"/>
      <c r="B239" s="13"/>
      <c r="C239" s="13"/>
      <c r="D239" s="13"/>
      <c r="E239" s="13"/>
      <c r="F239" s="13"/>
      <c r="L239" s="13"/>
      <c r="N239" s="13"/>
    </row>
    <row r="240" ht="15.75" customHeight="1">
      <c r="A240" s="13"/>
      <c r="B240" s="13"/>
      <c r="C240" s="13"/>
      <c r="D240" s="13"/>
      <c r="E240" s="13"/>
      <c r="F240" s="13"/>
      <c r="L240" s="13"/>
      <c r="N240" s="13"/>
    </row>
    <row r="241" ht="15.75" customHeight="1">
      <c r="A241" s="13"/>
      <c r="B241" s="13"/>
      <c r="C241" s="13"/>
      <c r="D241" s="13"/>
      <c r="E241" s="13"/>
      <c r="F241" s="13"/>
      <c r="L241" s="13"/>
      <c r="N241" s="13"/>
    </row>
    <row r="242" ht="15.75" customHeight="1">
      <c r="A242" s="13"/>
      <c r="B242" s="13"/>
      <c r="C242" s="13"/>
      <c r="D242" s="13"/>
      <c r="E242" s="13"/>
      <c r="F242" s="13"/>
      <c r="L242" s="13"/>
      <c r="N242" s="13"/>
    </row>
    <row r="243" ht="15.75" customHeight="1">
      <c r="A243" s="13"/>
      <c r="B243" s="13"/>
      <c r="C243" s="13"/>
      <c r="D243" s="13"/>
      <c r="E243" s="13"/>
      <c r="F243" s="13"/>
      <c r="L243" s="13"/>
      <c r="N243" s="13"/>
    </row>
    <row r="244" ht="15.75" customHeight="1">
      <c r="A244" s="13"/>
      <c r="B244" s="13"/>
      <c r="C244" s="13"/>
      <c r="D244" s="13"/>
      <c r="E244" s="13"/>
      <c r="F244" s="13"/>
      <c r="L244" s="13"/>
      <c r="N244" s="13"/>
    </row>
    <row r="245" ht="15.75" customHeight="1">
      <c r="A245" s="13"/>
      <c r="B245" s="13"/>
      <c r="C245" s="13"/>
      <c r="D245" s="13"/>
      <c r="E245" s="13"/>
      <c r="F245" s="13"/>
      <c r="L245" s="13"/>
      <c r="N245" s="13"/>
    </row>
    <row r="246" ht="15.75" customHeight="1">
      <c r="A246" s="13"/>
      <c r="B246" s="13"/>
      <c r="C246" s="13"/>
      <c r="D246" s="13"/>
      <c r="E246" s="13"/>
      <c r="F246" s="13"/>
      <c r="L246" s="13"/>
      <c r="N246" s="13"/>
    </row>
    <row r="247" ht="15.75" customHeight="1">
      <c r="A247" s="13"/>
      <c r="B247" s="13"/>
      <c r="C247" s="13"/>
      <c r="D247" s="13"/>
      <c r="E247" s="13"/>
      <c r="F247" s="13"/>
      <c r="L247" s="13"/>
      <c r="N247" s="13"/>
    </row>
    <row r="248" ht="15.75" customHeight="1">
      <c r="A248" s="13"/>
      <c r="B248" s="13"/>
      <c r="C248" s="13"/>
      <c r="D248" s="13"/>
      <c r="E248" s="13"/>
      <c r="F248" s="13"/>
      <c r="L248" s="13"/>
      <c r="N248" s="13"/>
    </row>
    <row r="249" ht="15.75" customHeight="1">
      <c r="A249" s="13"/>
      <c r="B249" s="13"/>
      <c r="C249" s="13"/>
      <c r="D249" s="13"/>
      <c r="E249" s="13"/>
      <c r="F249" s="13"/>
      <c r="L249" s="13"/>
      <c r="N249" s="13"/>
    </row>
    <row r="250" ht="15.75" customHeight="1">
      <c r="A250" s="13"/>
      <c r="B250" s="13"/>
      <c r="C250" s="13"/>
      <c r="D250" s="13"/>
      <c r="E250" s="13"/>
      <c r="F250" s="13"/>
      <c r="L250" s="13"/>
      <c r="N250" s="13"/>
    </row>
    <row r="251" ht="15.75" customHeight="1">
      <c r="A251" s="13"/>
      <c r="B251" s="13"/>
      <c r="C251" s="13"/>
      <c r="D251" s="13"/>
      <c r="E251" s="13"/>
      <c r="F251" s="13"/>
      <c r="L251" s="13"/>
      <c r="N251" s="13"/>
    </row>
    <row r="252" ht="15.75" customHeight="1">
      <c r="A252" s="13"/>
      <c r="B252" s="13"/>
      <c r="C252" s="13"/>
      <c r="D252" s="13"/>
      <c r="E252" s="13"/>
      <c r="F252" s="13"/>
      <c r="L252" s="13"/>
      <c r="N252" s="13"/>
    </row>
    <row r="253" ht="15.75" customHeight="1">
      <c r="A253" s="13"/>
      <c r="B253" s="13"/>
      <c r="C253" s="13"/>
      <c r="D253" s="13"/>
      <c r="E253" s="13"/>
      <c r="F253" s="13"/>
      <c r="L253" s="13"/>
      <c r="N253" s="13"/>
    </row>
    <row r="254" ht="15.75" customHeight="1">
      <c r="A254" s="13"/>
      <c r="B254" s="13"/>
      <c r="C254" s="13"/>
      <c r="D254" s="13"/>
      <c r="E254" s="13"/>
      <c r="F254" s="13"/>
      <c r="L254" s="13"/>
      <c r="N254" s="13"/>
    </row>
    <row r="255" ht="15.75" customHeight="1">
      <c r="A255" s="13"/>
      <c r="B255" s="13"/>
      <c r="C255" s="13"/>
      <c r="D255" s="13"/>
      <c r="E255" s="13"/>
      <c r="F255" s="13"/>
      <c r="L255" s="13"/>
      <c r="N255" s="13"/>
    </row>
    <row r="256" ht="15.75" customHeight="1">
      <c r="A256" s="13"/>
      <c r="B256" s="13"/>
      <c r="C256" s="13"/>
      <c r="D256" s="13"/>
      <c r="E256" s="13"/>
      <c r="F256" s="13"/>
      <c r="L256" s="13"/>
      <c r="N256" s="13"/>
    </row>
    <row r="257" ht="15.75" customHeight="1">
      <c r="A257" s="13"/>
      <c r="B257" s="13"/>
      <c r="C257" s="13"/>
      <c r="D257" s="13"/>
      <c r="E257" s="13"/>
      <c r="F257" s="13"/>
      <c r="L257" s="13"/>
      <c r="N257" s="13"/>
    </row>
    <row r="258" ht="15.75" customHeight="1">
      <c r="A258" s="13"/>
      <c r="B258" s="13"/>
      <c r="C258" s="13"/>
      <c r="D258" s="13"/>
      <c r="E258" s="13"/>
      <c r="F258" s="13"/>
      <c r="L258" s="13"/>
      <c r="N258" s="13"/>
    </row>
    <row r="259" ht="15.75" customHeight="1">
      <c r="A259" s="13"/>
      <c r="B259" s="13"/>
      <c r="C259" s="13"/>
      <c r="D259" s="13"/>
      <c r="E259" s="13"/>
      <c r="F259" s="13"/>
      <c r="L259" s="13"/>
      <c r="N259" s="13"/>
    </row>
    <row r="260" ht="15.75" customHeight="1">
      <c r="A260" s="13"/>
      <c r="B260" s="13"/>
      <c r="C260" s="13"/>
      <c r="D260" s="13"/>
      <c r="E260" s="13"/>
      <c r="F260" s="13"/>
      <c r="L260" s="13"/>
      <c r="N260" s="13"/>
    </row>
    <row r="261" ht="15.75" customHeight="1">
      <c r="A261" s="13"/>
      <c r="B261" s="13"/>
      <c r="C261" s="13"/>
      <c r="D261" s="13"/>
      <c r="E261" s="13"/>
      <c r="F261" s="13"/>
      <c r="L261" s="13"/>
      <c r="N261" s="13"/>
    </row>
    <row r="262" ht="15.75" customHeight="1">
      <c r="A262" s="13"/>
      <c r="B262" s="13"/>
      <c r="C262" s="13"/>
      <c r="D262" s="13"/>
      <c r="E262" s="13"/>
      <c r="F262" s="13"/>
      <c r="L262" s="13"/>
      <c r="N262" s="13"/>
    </row>
    <row r="263" ht="15.75" customHeight="1">
      <c r="A263" s="13"/>
      <c r="B263" s="13"/>
      <c r="C263" s="13"/>
      <c r="D263" s="13"/>
      <c r="E263" s="13"/>
      <c r="F263" s="13"/>
      <c r="L263" s="13"/>
      <c r="N263" s="13"/>
    </row>
    <row r="264" ht="15.75" customHeight="1">
      <c r="A264" s="13"/>
      <c r="B264" s="13"/>
      <c r="C264" s="13"/>
      <c r="D264" s="13"/>
      <c r="E264" s="13"/>
      <c r="F264" s="13"/>
      <c r="L264" s="13"/>
      <c r="N264" s="13"/>
    </row>
    <row r="265" ht="15.75" customHeight="1">
      <c r="A265" s="13"/>
      <c r="B265" s="13"/>
      <c r="C265" s="13"/>
      <c r="D265" s="13"/>
      <c r="E265" s="13"/>
      <c r="F265" s="13"/>
      <c r="L265" s="13"/>
      <c r="N265" s="13"/>
    </row>
    <row r="266" ht="15.75" customHeight="1">
      <c r="A266" s="13"/>
      <c r="B266" s="13"/>
      <c r="C266" s="13"/>
      <c r="D266" s="13"/>
      <c r="E266" s="13"/>
      <c r="F266" s="13"/>
      <c r="L266" s="13"/>
      <c r="N266" s="13"/>
    </row>
    <row r="267" ht="15.75" customHeight="1">
      <c r="A267" s="13"/>
      <c r="B267" s="13"/>
      <c r="C267" s="13"/>
      <c r="D267" s="13"/>
      <c r="E267" s="13"/>
      <c r="F267" s="13"/>
      <c r="L267" s="13"/>
      <c r="N267" s="13"/>
    </row>
    <row r="268" ht="15.75" customHeight="1">
      <c r="A268" s="13"/>
      <c r="B268" s="13"/>
      <c r="C268" s="13"/>
      <c r="D268" s="13"/>
      <c r="E268" s="13"/>
      <c r="F268" s="13"/>
      <c r="L268" s="13"/>
      <c r="N268" s="13"/>
    </row>
    <row r="269" ht="15.75" customHeight="1">
      <c r="A269" s="13"/>
      <c r="B269" s="13"/>
      <c r="C269" s="13"/>
      <c r="D269" s="13"/>
      <c r="E269" s="13"/>
      <c r="F269" s="13"/>
      <c r="L269" s="13"/>
      <c r="N269" s="13"/>
    </row>
    <row r="270" ht="15.75" customHeight="1">
      <c r="A270" s="13"/>
      <c r="B270" s="13"/>
      <c r="C270" s="13"/>
      <c r="D270" s="13"/>
      <c r="E270" s="13"/>
      <c r="F270" s="13"/>
      <c r="L270" s="13"/>
      <c r="N270" s="13"/>
    </row>
    <row r="271" ht="15.75" customHeight="1">
      <c r="A271" s="13"/>
      <c r="B271" s="13"/>
      <c r="C271" s="13"/>
      <c r="D271" s="13"/>
      <c r="E271" s="13"/>
      <c r="F271" s="13"/>
      <c r="L271" s="13"/>
      <c r="N271" s="13"/>
    </row>
    <row r="272" ht="15.75" customHeight="1">
      <c r="A272" s="13"/>
      <c r="B272" s="13"/>
      <c r="C272" s="13"/>
      <c r="D272" s="13"/>
      <c r="E272" s="13"/>
      <c r="F272" s="13"/>
      <c r="L272" s="13"/>
      <c r="N272" s="13"/>
    </row>
    <row r="273" ht="15.75" customHeight="1">
      <c r="A273" s="13"/>
      <c r="B273" s="13"/>
      <c r="C273" s="13"/>
      <c r="D273" s="13"/>
      <c r="E273" s="13"/>
      <c r="F273" s="13"/>
      <c r="L273" s="13"/>
      <c r="N273" s="13"/>
    </row>
    <row r="274" ht="15.75" customHeight="1">
      <c r="A274" s="13"/>
      <c r="B274" s="13"/>
      <c r="C274" s="13"/>
      <c r="D274" s="13"/>
      <c r="E274" s="13"/>
      <c r="F274" s="13"/>
      <c r="L274" s="13"/>
      <c r="N274" s="13"/>
    </row>
    <row r="275" ht="15.75" customHeight="1">
      <c r="A275" s="13"/>
      <c r="B275" s="13"/>
      <c r="C275" s="13"/>
      <c r="D275" s="13"/>
      <c r="E275" s="13"/>
      <c r="F275" s="13"/>
      <c r="L275" s="13"/>
      <c r="N275" s="13"/>
    </row>
    <row r="276" ht="15.75" customHeight="1">
      <c r="A276" s="13"/>
      <c r="B276" s="13"/>
      <c r="C276" s="13"/>
      <c r="D276" s="13"/>
      <c r="E276" s="13"/>
      <c r="F276" s="13"/>
      <c r="L276" s="13"/>
      <c r="N276" s="13"/>
    </row>
    <row r="277" ht="15.75" customHeight="1">
      <c r="A277" s="13"/>
      <c r="B277" s="13"/>
      <c r="C277" s="13"/>
      <c r="D277" s="13"/>
      <c r="E277" s="13"/>
      <c r="F277" s="13"/>
      <c r="L277" s="13"/>
      <c r="N277" s="13"/>
    </row>
    <row r="278" ht="15.75" customHeight="1">
      <c r="A278" s="13"/>
      <c r="B278" s="13"/>
      <c r="C278" s="13"/>
      <c r="D278" s="13"/>
      <c r="E278" s="13"/>
      <c r="F278" s="13"/>
      <c r="L278" s="13"/>
      <c r="N278" s="13"/>
    </row>
    <row r="279" ht="15.75" customHeight="1">
      <c r="A279" s="13"/>
      <c r="B279" s="13"/>
      <c r="C279" s="13"/>
      <c r="D279" s="13"/>
      <c r="E279" s="13"/>
      <c r="F279" s="13"/>
      <c r="L279" s="13"/>
      <c r="N279" s="13"/>
    </row>
    <row r="280" ht="15.75" customHeight="1">
      <c r="A280" s="13"/>
      <c r="B280" s="13"/>
      <c r="C280" s="13"/>
      <c r="D280" s="13"/>
      <c r="E280" s="13"/>
      <c r="F280" s="13"/>
      <c r="L280" s="13"/>
      <c r="N280" s="13"/>
    </row>
    <row r="281" ht="15.75" customHeight="1">
      <c r="A281" s="13"/>
      <c r="B281" s="13"/>
      <c r="C281" s="13"/>
      <c r="D281" s="13"/>
      <c r="E281" s="13"/>
      <c r="F281" s="13"/>
      <c r="L281" s="13"/>
      <c r="N281" s="13"/>
    </row>
    <row r="282" ht="15.75" customHeight="1">
      <c r="A282" s="13"/>
      <c r="B282" s="13"/>
      <c r="C282" s="13"/>
      <c r="D282" s="13"/>
      <c r="E282" s="13"/>
      <c r="F282" s="13"/>
      <c r="L282" s="13"/>
      <c r="N282" s="13"/>
    </row>
    <row r="283" ht="15.75" customHeight="1">
      <c r="A283" s="13"/>
      <c r="B283" s="13"/>
      <c r="C283" s="13"/>
      <c r="D283" s="13"/>
      <c r="E283" s="13"/>
      <c r="F283" s="13"/>
      <c r="L283" s="13"/>
      <c r="N283" s="13"/>
    </row>
    <row r="284" ht="15.75" customHeight="1">
      <c r="A284" s="13"/>
      <c r="B284" s="13"/>
      <c r="C284" s="13"/>
      <c r="D284" s="13"/>
      <c r="E284" s="13"/>
      <c r="F284" s="13"/>
      <c r="L284" s="13"/>
      <c r="N284" s="13"/>
    </row>
    <row r="285" ht="15.75" customHeight="1">
      <c r="A285" s="13"/>
      <c r="B285" s="13"/>
      <c r="C285" s="13"/>
      <c r="D285" s="13"/>
      <c r="E285" s="13"/>
      <c r="F285" s="13"/>
      <c r="L285" s="13"/>
      <c r="N285" s="13"/>
    </row>
    <row r="286" ht="15.75" customHeight="1">
      <c r="A286" s="13"/>
      <c r="B286" s="13"/>
      <c r="C286" s="13"/>
      <c r="D286" s="13"/>
      <c r="E286" s="13"/>
      <c r="F286" s="13"/>
      <c r="L286" s="13"/>
      <c r="N286" s="13"/>
    </row>
    <row r="287" ht="15.75" customHeight="1">
      <c r="A287" s="13"/>
      <c r="B287" s="13"/>
      <c r="C287" s="13"/>
      <c r="D287" s="13"/>
      <c r="E287" s="13"/>
      <c r="F287" s="13"/>
      <c r="L287" s="13"/>
      <c r="N287" s="13"/>
    </row>
    <row r="288" ht="15.75" customHeight="1">
      <c r="A288" s="13"/>
      <c r="B288" s="13"/>
      <c r="C288" s="13"/>
      <c r="D288" s="13"/>
      <c r="E288" s="13"/>
      <c r="F288" s="13"/>
      <c r="L288" s="13"/>
      <c r="N288" s="13"/>
    </row>
    <row r="289" ht="15.75" customHeight="1">
      <c r="A289" s="13"/>
      <c r="B289" s="13"/>
      <c r="C289" s="13"/>
      <c r="D289" s="13"/>
      <c r="E289" s="13"/>
      <c r="F289" s="13"/>
      <c r="L289" s="13"/>
      <c r="N289" s="13"/>
    </row>
    <row r="290" ht="15.75" customHeight="1">
      <c r="A290" s="13"/>
      <c r="B290" s="13"/>
      <c r="C290" s="13"/>
      <c r="D290" s="13"/>
      <c r="E290" s="13"/>
      <c r="F290" s="13"/>
      <c r="L290" s="13"/>
      <c r="N290" s="13"/>
    </row>
    <row r="291" ht="15.75" customHeight="1">
      <c r="A291" s="13"/>
      <c r="B291" s="13"/>
      <c r="C291" s="13"/>
      <c r="D291" s="13"/>
      <c r="E291" s="13"/>
      <c r="F291" s="13"/>
      <c r="L291" s="13"/>
      <c r="N291" s="13"/>
    </row>
    <row r="292" ht="15.75" customHeight="1">
      <c r="A292" s="13"/>
      <c r="B292" s="13"/>
      <c r="C292" s="13"/>
      <c r="D292" s="13"/>
      <c r="E292" s="13"/>
      <c r="F292" s="13"/>
      <c r="L292" s="13"/>
      <c r="N292" s="13"/>
    </row>
    <row r="293" ht="15.75" customHeight="1">
      <c r="A293" s="13"/>
      <c r="B293" s="13"/>
      <c r="C293" s="13"/>
      <c r="D293" s="13"/>
      <c r="E293" s="13"/>
      <c r="F293" s="13"/>
      <c r="L293" s="13"/>
      <c r="N293" s="13"/>
    </row>
    <row r="294" ht="15.75" customHeight="1">
      <c r="A294" s="13"/>
      <c r="B294" s="13"/>
      <c r="C294" s="13"/>
      <c r="D294" s="13"/>
      <c r="E294" s="13"/>
      <c r="F294" s="13"/>
      <c r="L294" s="13"/>
      <c r="N294" s="13"/>
    </row>
    <row r="295" ht="15.75" customHeight="1">
      <c r="A295" s="13"/>
      <c r="B295" s="13"/>
      <c r="C295" s="13"/>
      <c r="D295" s="13"/>
      <c r="E295" s="13"/>
      <c r="F295" s="13"/>
      <c r="L295" s="13"/>
      <c r="N295" s="13"/>
    </row>
    <row r="296" ht="15.75" customHeight="1">
      <c r="A296" s="13"/>
      <c r="B296" s="13"/>
      <c r="C296" s="13"/>
      <c r="D296" s="13"/>
      <c r="E296" s="13"/>
      <c r="F296" s="13"/>
      <c r="L296" s="13"/>
      <c r="N296" s="13"/>
    </row>
    <row r="297" ht="15.75" customHeight="1">
      <c r="A297" s="13"/>
      <c r="B297" s="13"/>
      <c r="C297" s="13"/>
      <c r="D297" s="13"/>
      <c r="E297" s="13"/>
      <c r="F297" s="13"/>
      <c r="L297" s="13"/>
      <c r="N297" s="13"/>
    </row>
    <row r="298" ht="15.75" customHeight="1">
      <c r="A298" s="13"/>
      <c r="B298" s="13"/>
      <c r="C298" s="13"/>
      <c r="D298" s="13"/>
      <c r="E298" s="13"/>
      <c r="F298" s="13"/>
      <c r="L298" s="13"/>
      <c r="N298" s="13"/>
    </row>
    <row r="299" ht="15.75" customHeight="1">
      <c r="A299" s="13"/>
      <c r="B299" s="13"/>
      <c r="C299" s="13"/>
      <c r="D299" s="13"/>
      <c r="E299" s="13"/>
      <c r="F299" s="13"/>
      <c r="L299" s="13"/>
      <c r="N299" s="13"/>
    </row>
    <row r="300" ht="15.75" customHeight="1">
      <c r="A300" s="13"/>
      <c r="B300" s="13"/>
      <c r="C300" s="13"/>
      <c r="D300" s="13"/>
      <c r="E300" s="13"/>
      <c r="F300" s="13"/>
      <c r="L300" s="13"/>
      <c r="N300" s="13"/>
    </row>
    <row r="301" ht="15.75" customHeight="1">
      <c r="A301" s="13"/>
      <c r="B301" s="13"/>
      <c r="C301" s="13"/>
      <c r="D301" s="13"/>
      <c r="E301" s="13"/>
      <c r="F301" s="13"/>
      <c r="L301" s="13"/>
      <c r="N301" s="13"/>
    </row>
    <row r="302" ht="15.75" customHeight="1">
      <c r="A302" s="13"/>
      <c r="B302" s="13"/>
      <c r="C302" s="13"/>
      <c r="D302" s="13"/>
      <c r="E302" s="13"/>
      <c r="F302" s="13"/>
      <c r="L302" s="13"/>
      <c r="N302" s="13"/>
    </row>
    <row r="303" ht="15.75" customHeight="1">
      <c r="A303" s="13"/>
      <c r="B303" s="13"/>
      <c r="C303" s="13"/>
      <c r="D303" s="13"/>
      <c r="E303" s="13"/>
      <c r="F303" s="13"/>
      <c r="L303" s="13"/>
      <c r="N303" s="13"/>
    </row>
    <row r="304" ht="15.75" customHeight="1">
      <c r="A304" s="13"/>
      <c r="B304" s="13"/>
      <c r="C304" s="13"/>
      <c r="D304" s="13"/>
      <c r="E304" s="13"/>
      <c r="F304" s="13"/>
      <c r="L304" s="13"/>
      <c r="N304" s="13"/>
    </row>
    <row r="305" ht="15.75" customHeight="1">
      <c r="A305" s="13"/>
      <c r="B305" s="13"/>
      <c r="C305" s="13"/>
      <c r="D305" s="13"/>
      <c r="E305" s="13"/>
      <c r="F305" s="13"/>
      <c r="L305" s="13"/>
      <c r="N305" s="13"/>
    </row>
    <row r="306" ht="15.75" customHeight="1">
      <c r="A306" s="13"/>
      <c r="B306" s="13"/>
      <c r="C306" s="13"/>
      <c r="D306" s="13"/>
      <c r="E306" s="13"/>
      <c r="F306" s="13"/>
      <c r="L306" s="13"/>
      <c r="N306" s="13"/>
    </row>
    <row r="307" ht="15.75" customHeight="1">
      <c r="A307" s="13"/>
      <c r="B307" s="13"/>
      <c r="C307" s="13"/>
      <c r="D307" s="13"/>
      <c r="E307" s="13"/>
      <c r="F307" s="13"/>
      <c r="L307" s="13"/>
      <c r="N307" s="13"/>
    </row>
    <row r="308" ht="15.75" customHeight="1">
      <c r="A308" s="13"/>
      <c r="B308" s="13"/>
      <c r="C308" s="13"/>
      <c r="D308" s="13"/>
      <c r="E308" s="13"/>
      <c r="F308" s="13"/>
      <c r="L308" s="13"/>
      <c r="N308" s="13"/>
    </row>
    <row r="309" ht="15.75" customHeight="1">
      <c r="A309" s="13"/>
      <c r="B309" s="13"/>
      <c r="C309" s="13"/>
      <c r="D309" s="13"/>
      <c r="E309" s="13"/>
      <c r="F309" s="13"/>
      <c r="L309" s="13"/>
      <c r="N309" s="13"/>
    </row>
    <row r="310" ht="15.75" customHeight="1">
      <c r="A310" s="13"/>
      <c r="B310" s="13"/>
      <c r="C310" s="13"/>
      <c r="D310" s="13"/>
      <c r="E310" s="13"/>
      <c r="F310" s="13"/>
      <c r="L310" s="13"/>
      <c r="N310" s="13"/>
    </row>
    <row r="311" ht="15.75" customHeight="1">
      <c r="A311" s="13"/>
      <c r="B311" s="13"/>
      <c r="C311" s="13"/>
      <c r="D311" s="13"/>
      <c r="E311" s="13"/>
      <c r="F311" s="13"/>
      <c r="L311" s="13"/>
      <c r="N311" s="13"/>
    </row>
    <row r="312" ht="15.75" customHeight="1">
      <c r="A312" s="13"/>
      <c r="B312" s="13"/>
      <c r="C312" s="13"/>
      <c r="D312" s="13"/>
      <c r="E312" s="13"/>
      <c r="F312" s="13"/>
      <c r="L312" s="13"/>
      <c r="N312" s="13"/>
    </row>
    <row r="313" ht="15.75" customHeight="1">
      <c r="A313" s="13"/>
      <c r="B313" s="13"/>
      <c r="C313" s="13"/>
      <c r="D313" s="13"/>
      <c r="E313" s="13"/>
      <c r="F313" s="13"/>
      <c r="L313" s="13"/>
      <c r="N313" s="13"/>
    </row>
    <row r="314" ht="15.75" customHeight="1">
      <c r="A314" s="13"/>
      <c r="B314" s="13"/>
      <c r="C314" s="13"/>
      <c r="D314" s="13"/>
      <c r="E314" s="13"/>
      <c r="F314" s="13"/>
      <c r="L314" s="13"/>
      <c r="N314" s="13"/>
    </row>
    <row r="315" ht="15.75" customHeight="1">
      <c r="A315" s="13"/>
      <c r="B315" s="13"/>
      <c r="C315" s="13"/>
      <c r="D315" s="13"/>
      <c r="E315" s="13"/>
      <c r="F315" s="13"/>
      <c r="L315" s="13"/>
      <c r="N315" s="13"/>
    </row>
    <row r="316" ht="15.75" customHeight="1">
      <c r="A316" s="13"/>
      <c r="B316" s="13"/>
      <c r="C316" s="13"/>
      <c r="D316" s="13"/>
      <c r="E316" s="13"/>
      <c r="F316" s="13"/>
      <c r="L316" s="13"/>
      <c r="N316" s="13"/>
    </row>
    <row r="317" ht="15.75" customHeight="1">
      <c r="A317" s="13"/>
      <c r="B317" s="13"/>
      <c r="C317" s="13"/>
      <c r="D317" s="13"/>
      <c r="E317" s="13"/>
      <c r="F317" s="13"/>
      <c r="L317" s="13"/>
      <c r="N317" s="13"/>
    </row>
    <row r="318" ht="15.75" customHeight="1">
      <c r="A318" s="13"/>
      <c r="B318" s="13"/>
      <c r="C318" s="13"/>
      <c r="D318" s="13"/>
      <c r="E318" s="13"/>
      <c r="F318" s="13"/>
      <c r="L318" s="13"/>
      <c r="N318" s="13"/>
    </row>
    <row r="319" ht="15.75" customHeight="1">
      <c r="A319" s="13"/>
      <c r="B319" s="13"/>
      <c r="C319" s="13"/>
      <c r="D319" s="13"/>
      <c r="E319" s="13"/>
      <c r="F319" s="13"/>
      <c r="L319" s="13"/>
      <c r="N319" s="13"/>
    </row>
    <row r="320" ht="15.75" customHeight="1">
      <c r="A320" s="13"/>
      <c r="B320" s="13"/>
      <c r="C320" s="13"/>
      <c r="D320" s="13"/>
      <c r="E320" s="13"/>
      <c r="F320" s="13"/>
      <c r="L320" s="13"/>
      <c r="N320" s="13"/>
    </row>
    <row r="321" ht="15.75" customHeight="1">
      <c r="A321" s="13"/>
      <c r="B321" s="13"/>
      <c r="C321" s="13"/>
      <c r="D321" s="13"/>
      <c r="E321" s="13"/>
      <c r="F321" s="13"/>
      <c r="L321" s="13"/>
      <c r="N321" s="13"/>
    </row>
    <row r="322" ht="15.75" customHeight="1">
      <c r="A322" s="13"/>
      <c r="B322" s="13"/>
      <c r="C322" s="13"/>
      <c r="D322" s="13"/>
      <c r="E322" s="13"/>
      <c r="F322" s="13"/>
      <c r="L322" s="13"/>
      <c r="N322" s="13"/>
    </row>
    <row r="323" ht="15.75" customHeight="1">
      <c r="A323" s="13"/>
      <c r="B323" s="13"/>
      <c r="C323" s="13"/>
      <c r="D323" s="13"/>
      <c r="E323" s="13"/>
      <c r="F323" s="13"/>
      <c r="L323" s="13"/>
      <c r="N323" s="13"/>
    </row>
    <row r="324" ht="15.75" customHeight="1">
      <c r="A324" s="13"/>
      <c r="B324" s="13"/>
      <c r="C324" s="13"/>
      <c r="D324" s="13"/>
      <c r="E324" s="13"/>
      <c r="F324" s="13"/>
      <c r="L324" s="13"/>
      <c r="N324" s="13"/>
    </row>
    <row r="325" ht="15.75" customHeight="1">
      <c r="A325" s="13"/>
      <c r="B325" s="13"/>
      <c r="C325" s="13"/>
      <c r="D325" s="13"/>
      <c r="E325" s="13"/>
      <c r="F325" s="13"/>
      <c r="L325" s="13"/>
      <c r="N325" s="13"/>
    </row>
    <row r="326" ht="15.75" customHeight="1">
      <c r="A326" s="13"/>
      <c r="B326" s="13"/>
      <c r="C326" s="13"/>
      <c r="D326" s="13"/>
      <c r="E326" s="13"/>
      <c r="F326" s="13"/>
      <c r="L326" s="13"/>
      <c r="N326" s="13"/>
    </row>
    <row r="327" ht="15.75" customHeight="1">
      <c r="A327" s="13"/>
      <c r="B327" s="13"/>
      <c r="C327" s="13"/>
      <c r="D327" s="13"/>
      <c r="E327" s="13"/>
      <c r="F327" s="13"/>
      <c r="L327" s="13"/>
      <c r="N327" s="13"/>
    </row>
    <row r="328" ht="15.75" customHeight="1">
      <c r="A328" s="13"/>
      <c r="B328" s="13"/>
      <c r="C328" s="13"/>
      <c r="D328" s="13"/>
      <c r="E328" s="13"/>
      <c r="F328" s="13"/>
      <c r="L328" s="13"/>
      <c r="N328" s="13"/>
    </row>
    <row r="329" ht="15.75" customHeight="1">
      <c r="A329" s="13"/>
      <c r="B329" s="13"/>
      <c r="C329" s="13"/>
      <c r="D329" s="13"/>
      <c r="E329" s="13"/>
      <c r="F329" s="13"/>
      <c r="L329" s="13"/>
      <c r="N329" s="13"/>
    </row>
    <row r="330" ht="15.75" customHeight="1">
      <c r="A330" s="13"/>
      <c r="B330" s="13"/>
      <c r="C330" s="13"/>
      <c r="D330" s="13"/>
      <c r="E330" s="13"/>
      <c r="F330" s="13"/>
      <c r="L330" s="13"/>
      <c r="N330" s="13"/>
    </row>
    <row r="331" ht="15.75" customHeight="1">
      <c r="A331" s="13"/>
      <c r="B331" s="13"/>
      <c r="C331" s="13"/>
      <c r="D331" s="13"/>
      <c r="E331" s="13"/>
      <c r="F331" s="13"/>
      <c r="L331" s="13"/>
      <c r="N331" s="13"/>
    </row>
    <row r="332" ht="15.75" customHeight="1">
      <c r="A332" s="13"/>
      <c r="B332" s="13"/>
      <c r="C332" s="13"/>
      <c r="D332" s="13"/>
      <c r="E332" s="13"/>
      <c r="F332" s="13"/>
      <c r="L332" s="13"/>
      <c r="N332" s="13"/>
    </row>
    <row r="333" ht="15.75" customHeight="1">
      <c r="A333" s="13"/>
      <c r="B333" s="13"/>
      <c r="C333" s="13"/>
      <c r="D333" s="13"/>
      <c r="E333" s="13"/>
      <c r="F333" s="13"/>
      <c r="L333" s="13"/>
      <c r="N333" s="13"/>
    </row>
    <row r="334" ht="15.75" customHeight="1">
      <c r="A334" s="13"/>
      <c r="B334" s="13"/>
      <c r="C334" s="13"/>
      <c r="D334" s="13"/>
      <c r="E334" s="13"/>
      <c r="F334" s="13"/>
      <c r="L334" s="13"/>
      <c r="N334" s="13"/>
    </row>
    <row r="335" ht="15.75" customHeight="1">
      <c r="A335" s="13"/>
      <c r="B335" s="13"/>
      <c r="C335" s="13"/>
      <c r="D335" s="13"/>
      <c r="E335" s="13"/>
      <c r="F335" s="13"/>
      <c r="L335" s="13"/>
      <c r="N335" s="13"/>
    </row>
    <row r="336" ht="15.75" customHeight="1">
      <c r="A336" s="13"/>
      <c r="B336" s="13"/>
      <c r="C336" s="13"/>
      <c r="D336" s="13"/>
      <c r="E336" s="13"/>
      <c r="F336" s="13"/>
      <c r="L336" s="13"/>
      <c r="N336" s="13"/>
    </row>
    <row r="337" ht="15.75" customHeight="1">
      <c r="A337" s="13"/>
      <c r="B337" s="13"/>
      <c r="C337" s="13"/>
      <c r="D337" s="13"/>
      <c r="E337" s="13"/>
      <c r="F337" s="13"/>
      <c r="L337" s="13"/>
      <c r="N337" s="13"/>
    </row>
    <row r="338" ht="15.75" customHeight="1">
      <c r="A338" s="13"/>
      <c r="B338" s="13"/>
      <c r="C338" s="13"/>
      <c r="D338" s="13"/>
      <c r="E338" s="13"/>
      <c r="F338" s="13"/>
      <c r="L338" s="13"/>
      <c r="N338" s="13"/>
    </row>
    <row r="339" ht="15.75" customHeight="1">
      <c r="A339" s="13"/>
      <c r="B339" s="13"/>
      <c r="C339" s="13"/>
      <c r="D339" s="13"/>
      <c r="E339" s="13"/>
      <c r="F339" s="13"/>
      <c r="L339" s="13"/>
      <c r="N339" s="13"/>
    </row>
    <row r="340" ht="15.75" customHeight="1">
      <c r="A340" s="13"/>
      <c r="B340" s="13"/>
      <c r="C340" s="13"/>
      <c r="D340" s="13"/>
      <c r="E340" s="13"/>
      <c r="F340" s="13"/>
      <c r="L340" s="13"/>
      <c r="N340" s="13"/>
    </row>
    <row r="341" ht="15.75" customHeight="1">
      <c r="A341" s="13"/>
      <c r="B341" s="13"/>
      <c r="C341" s="13"/>
      <c r="D341" s="13"/>
      <c r="E341" s="13"/>
      <c r="F341" s="13"/>
      <c r="L341" s="13"/>
      <c r="N341" s="13"/>
    </row>
    <row r="342" ht="15.75" customHeight="1">
      <c r="A342" s="13"/>
      <c r="B342" s="13"/>
      <c r="C342" s="13"/>
      <c r="D342" s="13"/>
      <c r="E342" s="13"/>
      <c r="F342" s="13"/>
      <c r="L342" s="13"/>
      <c r="N342" s="13"/>
    </row>
    <row r="343" ht="15.75" customHeight="1">
      <c r="A343" s="13"/>
      <c r="B343" s="13"/>
      <c r="C343" s="13"/>
      <c r="D343" s="13"/>
      <c r="E343" s="13"/>
      <c r="F343" s="13"/>
      <c r="L343" s="13"/>
      <c r="N343" s="13"/>
    </row>
    <row r="344" ht="15.75" customHeight="1">
      <c r="A344" s="13"/>
      <c r="B344" s="13"/>
      <c r="C344" s="13"/>
      <c r="D344" s="13"/>
      <c r="E344" s="13"/>
      <c r="F344" s="13"/>
      <c r="L344" s="13"/>
      <c r="N344" s="13"/>
    </row>
    <row r="345" ht="15.75" customHeight="1">
      <c r="A345" s="13"/>
      <c r="B345" s="13"/>
      <c r="C345" s="13"/>
      <c r="D345" s="13"/>
      <c r="E345" s="13"/>
      <c r="F345" s="13"/>
      <c r="L345" s="13"/>
      <c r="N345" s="13"/>
    </row>
    <row r="346" ht="15.75" customHeight="1">
      <c r="A346" s="13"/>
      <c r="B346" s="13"/>
      <c r="C346" s="13"/>
      <c r="D346" s="13"/>
      <c r="E346" s="13"/>
      <c r="F346" s="13"/>
      <c r="L346" s="13"/>
      <c r="N346" s="13"/>
    </row>
    <row r="347" ht="15.75" customHeight="1">
      <c r="A347" s="13"/>
      <c r="B347" s="13"/>
      <c r="C347" s="13"/>
      <c r="D347" s="13"/>
      <c r="E347" s="13"/>
      <c r="F347" s="13"/>
      <c r="L347" s="13"/>
      <c r="N347" s="13"/>
    </row>
    <row r="348" ht="15.75" customHeight="1">
      <c r="A348" s="13"/>
      <c r="B348" s="13"/>
      <c r="C348" s="13"/>
      <c r="D348" s="13"/>
      <c r="E348" s="13"/>
      <c r="F348" s="13"/>
      <c r="L348" s="13"/>
      <c r="N348" s="13"/>
    </row>
    <row r="349" ht="15.75" customHeight="1">
      <c r="A349" s="13"/>
      <c r="B349" s="13"/>
      <c r="C349" s="13"/>
      <c r="D349" s="13"/>
      <c r="E349" s="13"/>
      <c r="F349" s="13"/>
      <c r="L349" s="13"/>
      <c r="N349" s="13"/>
    </row>
    <row r="350" ht="15.75" customHeight="1">
      <c r="A350" s="13"/>
      <c r="B350" s="13"/>
      <c r="C350" s="13"/>
      <c r="D350" s="13"/>
      <c r="E350" s="13"/>
      <c r="F350" s="13"/>
      <c r="L350" s="13"/>
      <c r="N350" s="13"/>
    </row>
    <row r="351" ht="15.75" customHeight="1">
      <c r="A351" s="13"/>
      <c r="B351" s="13"/>
      <c r="C351" s="13"/>
      <c r="D351" s="13"/>
      <c r="E351" s="13"/>
      <c r="F351" s="13"/>
      <c r="L351" s="13"/>
      <c r="N351" s="13"/>
    </row>
    <row r="352" ht="15.75" customHeight="1">
      <c r="A352" s="13"/>
      <c r="B352" s="13"/>
      <c r="C352" s="13"/>
      <c r="D352" s="13"/>
      <c r="E352" s="13"/>
      <c r="F352" s="13"/>
      <c r="L352" s="13"/>
      <c r="N352" s="13"/>
    </row>
    <row r="353" ht="15.75" customHeight="1">
      <c r="A353" s="13"/>
      <c r="B353" s="13"/>
      <c r="C353" s="13"/>
      <c r="D353" s="13"/>
      <c r="E353" s="13"/>
      <c r="F353" s="13"/>
      <c r="L353" s="13"/>
      <c r="N353" s="13"/>
    </row>
    <row r="354" ht="15.75" customHeight="1">
      <c r="A354" s="13"/>
      <c r="B354" s="13"/>
      <c r="C354" s="13"/>
      <c r="D354" s="13"/>
      <c r="E354" s="13"/>
      <c r="F354" s="13"/>
      <c r="L354" s="13"/>
      <c r="N354" s="13"/>
    </row>
    <row r="355" ht="15.75" customHeight="1">
      <c r="A355" s="13"/>
      <c r="B355" s="13"/>
      <c r="C355" s="13"/>
      <c r="D355" s="13"/>
      <c r="E355" s="13"/>
      <c r="F355" s="13"/>
      <c r="L355" s="13"/>
      <c r="N355" s="13"/>
    </row>
    <row r="356" ht="15.75" customHeight="1">
      <c r="A356" s="13"/>
      <c r="B356" s="13"/>
      <c r="C356" s="13"/>
      <c r="D356" s="13"/>
      <c r="E356" s="13"/>
      <c r="F356" s="13"/>
      <c r="L356" s="13"/>
      <c r="N356" s="13"/>
    </row>
    <row r="357" ht="15.75" customHeight="1">
      <c r="A357" s="13"/>
      <c r="B357" s="13"/>
      <c r="C357" s="13"/>
      <c r="D357" s="13"/>
      <c r="E357" s="13"/>
      <c r="F357" s="13"/>
      <c r="L357" s="13"/>
      <c r="N357" s="13"/>
    </row>
    <row r="358" ht="15.75" customHeight="1">
      <c r="A358" s="13"/>
      <c r="B358" s="13"/>
      <c r="C358" s="13"/>
      <c r="D358" s="13"/>
      <c r="E358" s="13"/>
      <c r="F358" s="13"/>
      <c r="L358" s="13"/>
      <c r="N358" s="13"/>
    </row>
    <row r="359" ht="15.75" customHeight="1">
      <c r="A359" s="13"/>
      <c r="B359" s="13"/>
      <c r="C359" s="13"/>
      <c r="D359" s="13"/>
      <c r="E359" s="13"/>
      <c r="F359" s="13"/>
      <c r="L359" s="13"/>
      <c r="N359" s="13"/>
    </row>
    <row r="360" ht="15.75" customHeight="1">
      <c r="A360" s="13"/>
      <c r="B360" s="13"/>
      <c r="C360" s="13"/>
      <c r="D360" s="13"/>
      <c r="E360" s="13"/>
      <c r="F360" s="13"/>
      <c r="L360" s="13"/>
      <c r="N360" s="13"/>
    </row>
    <row r="361" ht="15.75" customHeight="1">
      <c r="A361" s="13"/>
      <c r="B361" s="13"/>
      <c r="C361" s="13"/>
      <c r="D361" s="13"/>
      <c r="E361" s="13"/>
      <c r="F361" s="13"/>
      <c r="L361" s="13"/>
      <c r="N361" s="13"/>
    </row>
    <row r="362" ht="15.75" customHeight="1">
      <c r="A362" s="13"/>
      <c r="B362" s="13"/>
      <c r="C362" s="13"/>
      <c r="D362" s="13"/>
      <c r="E362" s="13"/>
      <c r="F362" s="13"/>
      <c r="L362" s="13"/>
      <c r="N362" s="13"/>
    </row>
    <row r="363" ht="15.75" customHeight="1">
      <c r="A363" s="13"/>
      <c r="B363" s="13"/>
      <c r="C363" s="13"/>
      <c r="D363" s="13"/>
      <c r="E363" s="13"/>
      <c r="F363" s="13"/>
      <c r="L363" s="13"/>
      <c r="N363" s="13"/>
    </row>
    <row r="364" ht="15.75" customHeight="1">
      <c r="A364" s="13"/>
      <c r="B364" s="13"/>
      <c r="C364" s="13"/>
      <c r="D364" s="13"/>
      <c r="E364" s="13"/>
      <c r="F364" s="13"/>
      <c r="L364" s="13"/>
      <c r="N364" s="13"/>
    </row>
    <row r="365" ht="15.75" customHeight="1">
      <c r="A365" s="13"/>
      <c r="B365" s="13"/>
      <c r="C365" s="13"/>
      <c r="D365" s="13"/>
      <c r="E365" s="13"/>
      <c r="F365" s="13"/>
      <c r="L365" s="13"/>
      <c r="N365" s="13"/>
    </row>
    <row r="366" ht="15.75" customHeight="1">
      <c r="A366" s="13"/>
      <c r="B366" s="13"/>
      <c r="C366" s="13"/>
      <c r="D366" s="13"/>
      <c r="E366" s="13"/>
      <c r="F366" s="13"/>
      <c r="L366" s="13"/>
      <c r="N366" s="13"/>
    </row>
    <row r="367" ht="15.75" customHeight="1">
      <c r="A367" s="13"/>
      <c r="B367" s="13"/>
      <c r="C367" s="13"/>
      <c r="D367" s="13"/>
      <c r="E367" s="13"/>
      <c r="F367" s="13"/>
      <c r="L367" s="13"/>
      <c r="N367" s="13"/>
    </row>
    <row r="368" ht="15.75" customHeight="1">
      <c r="A368" s="13"/>
      <c r="B368" s="13"/>
      <c r="C368" s="13"/>
      <c r="D368" s="13"/>
      <c r="E368" s="13"/>
      <c r="F368" s="13"/>
      <c r="L368" s="13"/>
      <c r="N368" s="13"/>
    </row>
    <row r="369" ht="15.75" customHeight="1">
      <c r="A369" s="13"/>
      <c r="B369" s="13"/>
      <c r="C369" s="13"/>
      <c r="D369" s="13"/>
      <c r="E369" s="13"/>
      <c r="F369" s="13"/>
      <c r="L369" s="13"/>
      <c r="N369" s="13"/>
    </row>
    <row r="370" ht="15.75" customHeight="1">
      <c r="A370" s="13"/>
      <c r="B370" s="13"/>
      <c r="C370" s="13"/>
      <c r="D370" s="13"/>
      <c r="E370" s="13"/>
      <c r="F370" s="13"/>
      <c r="L370" s="13"/>
      <c r="N370" s="13"/>
    </row>
    <row r="371" ht="15.75" customHeight="1">
      <c r="A371" s="13"/>
      <c r="B371" s="13"/>
      <c r="C371" s="13"/>
      <c r="D371" s="13"/>
      <c r="E371" s="13"/>
      <c r="F371" s="13"/>
      <c r="L371" s="13"/>
      <c r="N371" s="13"/>
    </row>
    <row r="372" ht="15.75" customHeight="1">
      <c r="A372" s="13"/>
      <c r="B372" s="13"/>
      <c r="C372" s="13"/>
      <c r="D372" s="13"/>
      <c r="E372" s="13"/>
      <c r="F372" s="13"/>
      <c r="L372" s="13"/>
      <c r="N372" s="13"/>
    </row>
    <row r="373" ht="15.75" customHeight="1">
      <c r="A373" s="13"/>
      <c r="B373" s="13"/>
      <c r="C373" s="13"/>
      <c r="D373" s="13"/>
      <c r="E373" s="13"/>
      <c r="F373" s="13"/>
      <c r="L373" s="13"/>
      <c r="N373" s="13"/>
    </row>
    <row r="374" ht="15.75" customHeight="1">
      <c r="A374" s="13"/>
      <c r="B374" s="13"/>
      <c r="C374" s="13"/>
      <c r="D374" s="13"/>
      <c r="E374" s="13"/>
      <c r="F374" s="13"/>
      <c r="L374" s="13"/>
      <c r="N374" s="13"/>
    </row>
    <row r="375" ht="15.75" customHeight="1">
      <c r="A375" s="13"/>
      <c r="B375" s="13"/>
      <c r="C375" s="13"/>
      <c r="D375" s="13"/>
      <c r="E375" s="13"/>
      <c r="F375" s="13"/>
      <c r="L375" s="13"/>
      <c r="N375" s="13"/>
    </row>
    <row r="376" ht="15.75" customHeight="1">
      <c r="A376" s="13"/>
      <c r="B376" s="13"/>
      <c r="C376" s="13"/>
      <c r="D376" s="13"/>
      <c r="E376" s="13"/>
      <c r="F376" s="13"/>
      <c r="L376" s="13"/>
      <c r="N376" s="13"/>
    </row>
    <row r="377" ht="15.75" customHeight="1">
      <c r="A377" s="13"/>
      <c r="B377" s="13"/>
      <c r="C377" s="13"/>
      <c r="D377" s="13"/>
      <c r="E377" s="13"/>
      <c r="F377" s="13"/>
      <c r="L377" s="13"/>
      <c r="N377" s="13"/>
    </row>
    <row r="378" ht="15.75" customHeight="1">
      <c r="A378" s="13"/>
      <c r="B378" s="13"/>
      <c r="C378" s="13"/>
      <c r="D378" s="13"/>
      <c r="E378" s="13"/>
      <c r="F378" s="13"/>
      <c r="L378" s="13"/>
      <c r="N378" s="13"/>
    </row>
    <row r="379" ht="15.75" customHeight="1">
      <c r="A379" s="13"/>
      <c r="B379" s="13"/>
      <c r="C379" s="13"/>
      <c r="D379" s="13"/>
      <c r="E379" s="13"/>
      <c r="F379" s="13"/>
      <c r="L379" s="13"/>
      <c r="N379" s="13"/>
    </row>
    <row r="380" ht="15.75" customHeight="1">
      <c r="A380" s="13"/>
      <c r="B380" s="13"/>
      <c r="C380" s="13"/>
      <c r="D380" s="13"/>
      <c r="E380" s="13"/>
      <c r="F380" s="13"/>
      <c r="L380" s="13"/>
      <c r="N380" s="13"/>
    </row>
    <row r="381" ht="15.75" customHeight="1">
      <c r="A381" s="13"/>
      <c r="B381" s="13"/>
      <c r="C381" s="13"/>
      <c r="D381" s="13"/>
      <c r="E381" s="13"/>
      <c r="F381" s="13"/>
      <c r="L381" s="13"/>
      <c r="N381" s="13"/>
    </row>
    <row r="382" ht="15.75" customHeight="1">
      <c r="A382" s="13"/>
      <c r="B382" s="13"/>
      <c r="C382" s="13"/>
      <c r="D382" s="13"/>
      <c r="E382" s="13"/>
      <c r="F382" s="13"/>
      <c r="L382" s="13"/>
      <c r="N382" s="13"/>
    </row>
    <row r="383" ht="15.75" customHeight="1">
      <c r="A383" s="13"/>
      <c r="B383" s="13"/>
      <c r="C383" s="13"/>
      <c r="D383" s="13"/>
      <c r="E383" s="13"/>
      <c r="F383" s="13"/>
      <c r="L383" s="13"/>
      <c r="N383" s="13"/>
    </row>
    <row r="384" ht="15.75" customHeight="1">
      <c r="A384" s="13"/>
      <c r="B384" s="13"/>
      <c r="C384" s="13"/>
      <c r="D384" s="13"/>
      <c r="E384" s="13"/>
      <c r="F384" s="13"/>
      <c r="L384" s="13"/>
      <c r="N384" s="13"/>
    </row>
    <row r="385" ht="15.75" customHeight="1">
      <c r="A385" s="13"/>
      <c r="B385" s="13"/>
      <c r="C385" s="13"/>
      <c r="D385" s="13"/>
      <c r="E385" s="13"/>
      <c r="F385" s="13"/>
      <c r="L385" s="13"/>
      <c r="N385" s="13"/>
    </row>
    <row r="386" ht="15.75" customHeight="1">
      <c r="A386" s="13"/>
      <c r="B386" s="13"/>
      <c r="C386" s="13"/>
      <c r="D386" s="13"/>
      <c r="E386" s="13"/>
      <c r="F386" s="13"/>
      <c r="L386" s="13"/>
      <c r="N386" s="13"/>
    </row>
    <row r="387" ht="15.75" customHeight="1">
      <c r="A387" s="13"/>
      <c r="B387" s="13"/>
      <c r="C387" s="13"/>
      <c r="D387" s="13"/>
      <c r="E387" s="13"/>
      <c r="F387" s="13"/>
      <c r="L387" s="13"/>
      <c r="N387" s="13"/>
    </row>
    <row r="388" ht="15.75" customHeight="1">
      <c r="A388" s="13"/>
      <c r="B388" s="13"/>
      <c r="C388" s="13"/>
      <c r="D388" s="13"/>
      <c r="E388" s="13"/>
      <c r="F388" s="13"/>
      <c r="L388" s="13"/>
      <c r="N388" s="13"/>
    </row>
    <row r="389" ht="15.75" customHeight="1">
      <c r="A389" s="13"/>
      <c r="B389" s="13"/>
      <c r="C389" s="13"/>
      <c r="D389" s="13"/>
      <c r="E389" s="13"/>
      <c r="F389" s="13"/>
      <c r="L389" s="13"/>
      <c r="N389" s="13"/>
    </row>
    <row r="390" ht="15.75" customHeight="1">
      <c r="A390" s="13"/>
      <c r="B390" s="13"/>
      <c r="C390" s="13"/>
      <c r="D390" s="13"/>
      <c r="E390" s="13"/>
      <c r="F390" s="13"/>
      <c r="L390" s="13"/>
      <c r="N390" s="13"/>
    </row>
    <row r="391" ht="15.75" customHeight="1">
      <c r="A391" s="13"/>
      <c r="B391" s="13"/>
      <c r="C391" s="13"/>
      <c r="D391" s="13"/>
      <c r="E391" s="13"/>
      <c r="F391" s="13"/>
      <c r="L391" s="13"/>
      <c r="N391" s="13"/>
    </row>
    <row r="392" ht="15.75" customHeight="1">
      <c r="A392" s="13"/>
      <c r="B392" s="13"/>
      <c r="C392" s="13"/>
      <c r="D392" s="13"/>
      <c r="E392" s="13"/>
      <c r="F392" s="13"/>
      <c r="L392" s="13"/>
      <c r="N392" s="13"/>
    </row>
    <row r="393" ht="15.75" customHeight="1">
      <c r="A393" s="13"/>
      <c r="B393" s="13"/>
      <c r="C393" s="13"/>
      <c r="D393" s="13"/>
      <c r="E393" s="13"/>
      <c r="F393" s="13"/>
      <c r="L393" s="13"/>
      <c r="N393" s="13"/>
    </row>
    <row r="394" ht="15.75" customHeight="1">
      <c r="A394" s="13"/>
      <c r="B394" s="13"/>
      <c r="C394" s="13"/>
      <c r="D394" s="13"/>
      <c r="E394" s="13"/>
      <c r="F394" s="13"/>
      <c r="L394" s="13"/>
      <c r="N394" s="13"/>
    </row>
    <row r="395" ht="15.75" customHeight="1">
      <c r="A395" s="13"/>
      <c r="B395" s="13"/>
      <c r="C395" s="13"/>
      <c r="D395" s="13"/>
      <c r="E395" s="13"/>
      <c r="F395" s="13"/>
      <c r="L395" s="13"/>
      <c r="N395" s="13"/>
    </row>
    <row r="396" ht="15.75" customHeight="1">
      <c r="A396" s="13"/>
      <c r="B396" s="13"/>
      <c r="C396" s="13"/>
      <c r="D396" s="13"/>
      <c r="E396" s="13"/>
      <c r="F396" s="13"/>
      <c r="L396" s="13"/>
      <c r="N396" s="13"/>
    </row>
    <row r="397" ht="15.75" customHeight="1">
      <c r="A397" s="13"/>
      <c r="B397" s="13"/>
      <c r="C397" s="13"/>
      <c r="D397" s="13"/>
      <c r="E397" s="13"/>
      <c r="F397" s="13"/>
      <c r="L397" s="13"/>
      <c r="N397" s="13"/>
    </row>
    <row r="398" ht="15.75" customHeight="1">
      <c r="A398" s="13"/>
      <c r="B398" s="13"/>
      <c r="C398" s="13"/>
      <c r="D398" s="13"/>
      <c r="E398" s="13"/>
      <c r="F398" s="13"/>
      <c r="L398" s="13"/>
      <c r="N398" s="13"/>
    </row>
    <row r="399" ht="15.75" customHeight="1">
      <c r="A399" s="13"/>
      <c r="B399" s="13"/>
      <c r="C399" s="13"/>
      <c r="D399" s="13"/>
      <c r="E399" s="13"/>
      <c r="F399" s="13"/>
      <c r="L399" s="13"/>
      <c r="N399" s="13"/>
    </row>
    <row r="400" ht="15.75" customHeight="1">
      <c r="A400" s="13"/>
      <c r="B400" s="13"/>
      <c r="C400" s="13"/>
      <c r="D400" s="13"/>
      <c r="E400" s="13"/>
      <c r="F400" s="13"/>
      <c r="L400" s="13"/>
      <c r="N400" s="13"/>
    </row>
    <row r="401" ht="15.75" customHeight="1">
      <c r="A401" s="13"/>
      <c r="B401" s="13"/>
      <c r="C401" s="13"/>
      <c r="D401" s="13"/>
      <c r="E401" s="13"/>
      <c r="F401" s="13"/>
      <c r="L401" s="13"/>
      <c r="N401" s="13"/>
    </row>
    <row r="402" ht="15.75" customHeight="1">
      <c r="A402" s="13"/>
      <c r="B402" s="13"/>
      <c r="C402" s="13"/>
      <c r="D402" s="13"/>
      <c r="E402" s="13"/>
      <c r="F402" s="13"/>
      <c r="L402" s="13"/>
      <c r="N402" s="13"/>
    </row>
    <row r="403" ht="15.75" customHeight="1">
      <c r="A403" s="13"/>
      <c r="B403" s="13"/>
      <c r="C403" s="13"/>
      <c r="D403" s="13"/>
      <c r="E403" s="13"/>
      <c r="F403" s="13"/>
      <c r="L403" s="13"/>
      <c r="N403" s="13"/>
    </row>
    <row r="404" ht="15.75" customHeight="1">
      <c r="A404" s="13"/>
      <c r="B404" s="13"/>
      <c r="C404" s="13"/>
      <c r="D404" s="13"/>
      <c r="E404" s="13"/>
      <c r="F404" s="13"/>
      <c r="L404" s="13"/>
      <c r="N404" s="13"/>
    </row>
    <row r="405" ht="15.75" customHeight="1">
      <c r="A405" s="13"/>
      <c r="B405" s="13"/>
      <c r="C405" s="13"/>
      <c r="D405" s="13"/>
      <c r="E405" s="13"/>
      <c r="F405" s="13"/>
      <c r="L405" s="13"/>
      <c r="N405" s="13"/>
    </row>
    <row r="406" ht="15.75" customHeight="1">
      <c r="A406" s="13"/>
      <c r="B406" s="13"/>
      <c r="C406" s="13"/>
      <c r="D406" s="13"/>
      <c r="E406" s="13"/>
      <c r="F406" s="13"/>
      <c r="L406" s="13"/>
      <c r="N406" s="13"/>
    </row>
    <row r="407" ht="15.75" customHeight="1">
      <c r="A407" s="13"/>
      <c r="B407" s="13"/>
      <c r="C407" s="13"/>
      <c r="D407" s="13"/>
      <c r="E407" s="13"/>
      <c r="F407" s="13"/>
      <c r="L407" s="13"/>
      <c r="N407" s="13"/>
    </row>
    <row r="408" ht="15.75" customHeight="1">
      <c r="A408" s="13"/>
      <c r="B408" s="13"/>
      <c r="C408" s="13"/>
      <c r="D408" s="13"/>
      <c r="E408" s="13"/>
      <c r="F408" s="13"/>
      <c r="L408" s="13"/>
      <c r="N408" s="13"/>
    </row>
    <row r="409" ht="15.75" customHeight="1">
      <c r="A409" s="13"/>
      <c r="B409" s="13"/>
      <c r="C409" s="13"/>
      <c r="D409" s="13"/>
      <c r="E409" s="13"/>
      <c r="F409" s="13"/>
      <c r="L409" s="13"/>
      <c r="N409" s="13"/>
    </row>
    <row r="410" ht="15.75" customHeight="1">
      <c r="A410" s="13"/>
      <c r="B410" s="13"/>
      <c r="C410" s="13"/>
      <c r="D410" s="13"/>
      <c r="E410" s="13"/>
      <c r="F410" s="13"/>
      <c r="L410" s="13"/>
      <c r="N410" s="13"/>
    </row>
    <row r="411" ht="15.75" customHeight="1">
      <c r="A411" s="13"/>
      <c r="B411" s="13"/>
      <c r="C411" s="13"/>
      <c r="D411" s="13"/>
      <c r="E411" s="13"/>
      <c r="F411" s="13"/>
      <c r="L411" s="13"/>
      <c r="N411" s="13"/>
    </row>
    <row r="412" ht="15.75" customHeight="1">
      <c r="A412" s="13"/>
      <c r="B412" s="13"/>
      <c r="C412" s="13"/>
      <c r="D412" s="13"/>
      <c r="E412" s="13"/>
      <c r="F412" s="13"/>
      <c r="L412" s="13"/>
      <c r="N412" s="13"/>
    </row>
    <row r="413" ht="15.75" customHeight="1">
      <c r="A413" s="13"/>
      <c r="B413" s="13"/>
      <c r="C413" s="13"/>
      <c r="D413" s="13"/>
      <c r="E413" s="13"/>
      <c r="F413" s="13"/>
      <c r="L413" s="13"/>
      <c r="N413" s="13"/>
    </row>
    <row r="414" ht="15.75" customHeight="1">
      <c r="A414" s="13"/>
      <c r="B414" s="13"/>
      <c r="C414" s="13"/>
      <c r="D414" s="13"/>
      <c r="E414" s="13"/>
      <c r="F414" s="13"/>
      <c r="L414" s="13"/>
      <c r="N414" s="13"/>
    </row>
    <row r="415" ht="15.75" customHeight="1">
      <c r="A415" s="13"/>
      <c r="B415" s="13"/>
      <c r="C415" s="13"/>
      <c r="D415" s="13"/>
      <c r="E415" s="13"/>
      <c r="F415" s="13"/>
      <c r="L415" s="13"/>
      <c r="N415" s="13"/>
    </row>
    <row r="416" ht="15.75" customHeight="1">
      <c r="A416" s="13"/>
      <c r="B416" s="13"/>
      <c r="C416" s="13"/>
      <c r="D416" s="13"/>
      <c r="E416" s="13"/>
      <c r="F416" s="13"/>
      <c r="L416" s="13"/>
      <c r="N416" s="13"/>
    </row>
    <row r="417" ht="15.75" customHeight="1">
      <c r="A417" s="13"/>
      <c r="B417" s="13"/>
      <c r="C417" s="13"/>
      <c r="D417" s="13"/>
      <c r="E417" s="13"/>
      <c r="F417" s="13"/>
      <c r="L417" s="13"/>
      <c r="N417" s="13"/>
    </row>
    <row r="418" ht="15.75" customHeight="1">
      <c r="A418" s="13"/>
      <c r="B418" s="13"/>
      <c r="C418" s="13"/>
      <c r="D418" s="13"/>
      <c r="E418" s="13"/>
      <c r="F418" s="13"/>
      <c r="L418" s="13"/>
      <c r="N418" s="13"/>
    </row>
    <row r="419" ht="15.75" customHeight="1">
      <c r="A419" s="13"/>
      <c r="B419" s="13"/>
      <c r="C419" s="13"/>
      <c r="D419" s="13"/>
      <c r="E419" s="13"/>
      <c r="F419" s="13"/>
      <c r="L419" s="13"/>
      <c r="N419" s="13"/>
    </row>
    <row r="420" ht="15.75" customHeight="1">
      <c r="A420" s="13"/>
      <c r="B420" s="13"/>
      <c r="C420" s="13"/>
      <c r="D420" s="13"/>
      <c r="E420" s="13"/>
      <c r="F420" s="13"/>
      <c r="L420" s="13"/>
      <c r="N420" s="13"/>
    </row>
    <row r="421" ht="15.75" customHeight="1">
      <c r="A421" s="13"/>
      <c r="B421" s="13"/>
      <c r="C421" s="13"/>
      <c r="D421" s="13"/>
      <c r="E421" s="13"/>
      <c r="F421" s="13"/>
      <c r="L421" s="13"/>
      <c r="N421" s="13"/>
    </row>
    <row r="422" ht="15.75" customHeight="1">
      <c r="A422" s="13"/>
      <c r="B422" s="13"/>
      <c r="C422" s="13"/>
      <c r="D422" s="13"/>
      <c r="E422" s="13"/>
      <c r="F422" s="13"/>
      <c r="L422" s="13"/>
      <c r="N422" s="13"/>
    </row>
    <row r="423" ht="15.75" customHeight="1">
      <c r="A423" s="13"/>
      <c r="B423" s="13"/>
      <c r="C423" s="13"/>
      <c r="D423" s="13"/>
      <c r="E423" s="13"/>
      <c r="F423" s="13"/>
      <c r="L423" s="13"/>
      <c r="N423" s="13"/>
    </row>
    <row r="424" ht="15.75" customHeight="1">
      <c r="A424" s="13"/>
      <c r="B424" s="13"/>
      <c r="C424" s="13"/>
      <c r="D424" s="13"/>
      <c r="E424" s="13"/>
      <c r="F424" s="13"/>
      <c r="L424" s="13"/>
      <c r="N424" s="13"/>
    </row>
    <row r="425" ht="15.75" customHeight="1">
      <c r="A425" s="13"/>
      <c r="B425" s="13"/>
      <c r="C425" s="13"/>
      <c r="D425" s="13"/>
      <c r="E425" s="13"/>
      <c r="F425" s="13"/>
      <c r="L425" s="13"/>
      <c r="N425" s="13"/>
    </row>
    <row r="426" ht="15.75" customHeight="1">
      <c r="A426" s="13"/>
      <c r="B426" s="13"/>
      <c r="C426" s="13"/>
      <c r="D426" s="13"/>
      <c r="E426" s="13"/>
      <c r="F426" s="13"/>
      <c r="L426" s="13"/>
      <c r="N426" s="13"/>
    </row>
    <row r="427" ht="15.75" customHeight="1">
      <c r="A427" s="13"/>
      <c r="B427" s="13"/>
      <c r="C427" s="13"/>
      <c r="D427" s="13"/>
      <c r="E427" s="13"/>
      <c r="F427" s="13"/>
      <c r="L427" s="13"/>
      <c r="N427" s="13"/>
    </row>
    <row r="428" ht="15.75" customHeight="1">
      <c r="A428" s="13"/>
      <c r="B428" s="13"/>
      <c r="C428" s="13"/>
      <c r="D428" s="13"/>
      <c r="E428" s="13"/>
      <c r="F428" s="13"/>
      <c r="L428" s="13"/>
      <c r="N428" s="13"/>
    </row>
    <row r="429" ht="15.75" customHeight="1">
      <c r="A429" s="13"/>
      <c r="B429" s="13"/>
      <c r="C429" s="13"/>
      <c r="D429" s="13"/>
      <c r="E429" s="13"/>
      <c r="F429" s="13"/>
      <c r="L429" s="13"/>
      <c r="N429" s="13"/>
    </row>
    <row r="430" ht="15.75" customHeight="1">
      <c r="A430" s="13"/>
      <c r="B430" s="13"/>
      <c r="C430" s="13"/>
      <c r="D430" s="13"/>
      <c r="E430" s="13"/>
      <c r="F430" s="13"/>
      <c r="L430" s="13"/>
      <c r="N430" s="13"/>
    </row>
    <row r="431" ht="15.75" customHeight="1">
      <c r="A431" s="13"/>
      <c r="B431" s="13"/>
      <c r="C431" s="13"/>
      <c r="D431" s="13"/>
      <c r="E431" s="13"/>
      <c r="F431" s="13"/>
      <c r="L431" s="13"/>
      <c r="N431" s="13"/>
    </row>
    <row r="432" ht="15.75" customHeight="1">
      <c r="A432" s="13"/>
      <c r="B432" s="13"/>
      <c r="C432" s="13"/>
      <c r="D432" s="13"/>
      <c r="E432" s="13"/>
      <c r="F432" s="13"/>
      <c r="L432" s="13"/>
      <c r="N432" s="13"/>
    </row>
    <row r="433" ht="15.75" customHeight="1">
      <c r="A433" s="13"/>
      <c r="B433" s="13"/>
      <c r="C433" s="13"/>
      <c r="D433" s="13"/>
      <c r="E433" s="13"/>
      <c r="F433" s="13"/>
      <c r="L433" s="13"/>
      <c r="N433" s="13"/>
    </row>
    <row r="434" ht="15.75" customHeight="1">
      <c r="A434" s="13"/>
      <c r="B434" s="13"/>
      <c r="C434" s="13"/>
      <c r="D434" s="13"/>
      <c r="E434" s="13"/>
      <c r="F434" s="13"/>
      <c r="L434" s="13"/>
      <c r="N434" s="13"/>
    </row>
    <row r="435" ht="15.75" customHeight="1">
      <c r="A435" s="13"/>
      <c r="B435" s="13"/>
      <c r="C435" s="13"/>
      <c r="D435" s="13"/>
      <c r="E435" s="13"/>
      <c r="F435" s="13"/>
      <c r="L435" s="13"/>
      <c r="N435" s="13"/>
    </row>
    <row r="436" ht="15.75" customHeight="1">
      <c r="A436" s="13"/>
      <c r="B436" s="13"/>
      <c r="C436" s="13"/>
      <c r="D436" s="13"/>
      <c r="E436" s="13"/>
      <c r="F436" s="13"/>
      <c r="L436" s="13"/>
      <c r="N436" s="13"/>
    </row>
    <row r="437" ht="15.75" customHeight="1">
      <c r="A437" s="13"/>
      <c r="B437" s="13"/>
      <c r="C437" s="13"/>
      <c r="D437" s="13"/>
      <c r="E437" s="13"/>
      <c r="F437" s="13"/>
      <c r="L437" s="13"/>
      <c r="N437" s="13"/>
    </row>
    <row r="438" ht="15.75" customHeight="1">
      <c r="A438" s="13"/>
      <c r="B438" s="13"/>
      <c r="C438" s="13"/>
      <c r="D438" s="13"/>
      <c r="E438" s="13"/>
      <c r="F438" s="13"/>
      <c r="L438" s="13"/>
      <c r="N438" s="13"/>
    </row>
    <row r="439" ht="15.75" customHeight="1">
      <c r="A439" s="13"/>
      <c r="B439" s="13"/>
      <c r="C439" s="13"/>
      <c r="D439" s="13"/>
      <c r="E439" s="13"/>
      <c r="F439" s="13"/>
      <c r="L439" s="13"/>
      <c r="N439" s="13"/>
    </row>
    <row r="440" ht="15.75" customHeight="1">
      <c r="A440" s="13"/>
      <c r="B440" s="13"/>
      <c r="C440" s="13"/>
      <c r="D440" s="13"/>
      <c r="E440" s="13"/>
      <c r="F440" s="13"/>
      <c r="L440" s="13"/>
      <c r="N440" s="13"/>
    </row>
    <row r="441" ht="15.75" customHeight="1">
      <c r="A441" s="13"/>
      <c r="B441" s="13"/>
      <c r="C441" s="13"/>
      <c r="D441" s="13"/>
      <c r="E441" s="13"/>
      <c r="F441" s="13"/>
      <c r="L441" s="13"/>
      <c r="N441" s="13"/>
    </row>
    <row r="442" ht="15.75" customHeight="1">
      <c r="A442" s="13"/>
      <c r="B442" s="13"/>
      <c r="C442" s="13"/>
      <c r="D442" s="13"/>
      <c r="E442" s="13"/>
      <c r="F442" s="13"/>
      <c r="L442" s="13"/>
      <c r="N442" s="13"/>
    </row>
    <row r="443" ht="15.75" customHeight="1">
      <c r="A443" s="13"/>
      <c r="B443" s="13"/>
      <c r="C443" s="13"/>
      <c r="D443" s="13"/>
      <c r="E443" s="13"/>
      <c r="F443" s="13"/>
      <c r="L443" s="13"/>
      <c r="N443" s="13"/>
    </row>
    <row r="444" ht="15.75" customHeight="1">
      <c r="A444" s="13"/>
      <c r="B444" s="13"/>
      <c r="C444" s="13"/>
      <c r="D444" s="13"/>
      <c r="E444" s="13"/>
      <c r="F444" s="13"/>
      <c r="L444" s="13"/>
      <c r="N444" s="13"/>
    </row>
    <row r="445" ht="15.75" customHeight="1">
      <c r="A445" s="13"/>
      <c r="B445" s="13"/>
      <c r="C445" s="13"/>
      <c r="D445" s="13"/>
      <c r="E445" s="13"/>
      <c r="F445" s="13"/>
      <c r="L445" s="13"/>
      <c r="N445" s="13"/>
    </row>
    <row r="446" ht="15.75" customHeight="1">
      <c r="A446" s="13"/>
      <c r="B446" s="13"/>
      <c r="C446" s="13"/>
      <c r="D446" s="13"/>
      <c r="E446" s="13"/>
      <c r="F446" s="13"/>
      <c r="L446" s="13"/>
      <c r="N446" s="13"/>
    </row>
    <row r="447" ht="15.75" customHeight="1">
      <c r="A447" s="13"/>
      <c r="B447" s="13"/>
      <c r="C447" s="13"/>
      <c r="D447" s="13"/>
      <c r="E447" s="13"/>
      <c r="F447" s="13"/>
      <c r="L447" s="13"/>
      <c r="N447" s="13"/>
    </row>
    <row r="448" ht="15.75" customHeight="1">
      <c r="A448" s="13"/>
      <c r="B448" s="13"/>
      <c r="C448" s="13"/>
      <c r="D448" s="13"/>
      <c r="E448" s="13"/>
      <c r="F448" s="13"/>
      <c r="L448" s="13"/>
      <c r="N448" s="13"/>
    </row>
    <row r="449" ht="15.75" customHeight="1">
      <c r="A449" s="13"/>
      <c r="B449" s="13"/>
      <c r="C449" s="13"/>
      <c r="D449" s="13"/>
      <c r="E449" s="13"/>
      <c r="F449" s="13"/>
      <c r="L449" s="13"/>
      <c r="N449" s="13"/>
    </row>
    <row r="450" ht="15.75" customHeight="1">
      <c r="A450" s="13"/>
      <c r="B450" s="13"/>
      <c r="C450" s="13"/>
      <c r="D450" s="13"/>
      <c r="E450" s="13"/>
      <c r="F450" s="13"/>
      <c r="L450" s="13"/>
      <c r="N450" s="13"/>
    </row>
    <row r="451" ht="15.75" customHeight="1">
      <c r="A451" s="13"/>
      <c r="B451" s="13"/>
      <c r="C451" s="13"/>
      <c r="D451" s="13"/>
      <c r="E451" s="13"/>
      <c r="F451" s="13"/>
      <c r="L451" s="13"/>
      <c r="N451" s="13"/>
    </row>
    <row r="452" ht="15.75" customHeight="1">
      <c r="A452" s="13"/>
      <c r="B452" s="13"/>
      <c r="C452" s="13"/>
      <c r="D452" s="13"/>
      <c r="E452" s="13"/>
      <c r="F452" s="13"/>
      <c r="L452" s="13"/>
      <c r="N452" s="13"/>
    </row>
    <row r="453" ht="15.75" customHeight="1">
      <c r="A453" s="13"/>
      <c r="B453" s="13"/>
      <c r="C453" s="13"/>
      <c r="D453" s="13"/>
      <c r="E453" s="13"/>
      <c r="F453" s="13"/>
      <c r="L453" s="13"/>
      <c r="N453" s="13"/>
    </row>
    <row r="454" ht="15.75" customHeight="1">
      <c r="A454" s="13"/>
      <c r="B454" s="13"/>
      <c r="C454" s="13"/>
      <c r="D454" s="13"/>
      <c r="E454" s="13"/>
      <c r="F454" s="13"/>
      <c r="L454" s="13"/>
      <c r="N454" s="13"/>
    </row>
    <row r="455" ht="15.75" customHeight="1">
      <c r="A455" s="13"/>
      <c r="B455" s="13"/>
      <c r="C455" s="13"/>
      <c r="D455" s="13"/>
      <c r="E455" s="13"/>
      <c r="F455" s="13"/>
      <c r="L455" s="13"/>
      <c r="N455" s="13"/>
    </row>
    <row r="456" ht="15.75" customHeight="1">
      <c r="A456" s="13"/>
      <c r="B456" s="13"/>
      <c r="C456" s="13"/>
      <c r="D456" s="13"/>
      <c r="E456" s="13"/>
      <c r="F456" s="13"/>
      <c r="L456" s="13"/>
      <c r="N456" s="13"/>
    </row>
    <row r="457" ht="15.75" customHeight="1">
      <c r="A457" s="13"/>
      <c r="B457" s="13"/>
      <c r="C457" s="13"/>
      <c r="D457" s="13"/>
      <c r="E457" s="13"/>
      <c r="F457" s="13"/>
      <c r="L457" s="13"/>
      <c r="N457" s="13"/>
    </row>
    <row r="458" ht="15.75" customHeight="1">
      <c r="A458" s="13"/>
      <c r="B458" s="13"/>
      <c r="C458" s="13"/>
      <c r="D458" s="13"/>
      <c r="E458" s="13"/>
      <c r="F458" s="13"/>
      <c r="L458" s="13"/>
      <c r="N458" s="13"/>
    </row>
    <row r="459" ht="15.75" customHeight="1">
      <c r="A459" s="13"/>
      <c r="B459" s="13"/>
      <c r="C459" s="13"/>
      <c r="D459" s="13"/>
      <c r="E459" s="13"/>
      <c r="F459" s="13"/>
      <c r="L459" s="13"/>
      <c r="N459" s="13"/>
    </row>
    <row r="460" ht="15.75" customHeight="1">
      <c r="A460" s="13"/>
      <c r="B460" s="13"/>
      <c r="C460" s="13"/>
      <c r="D460" s="13"/>
      <c r="E460" s="13"/>
      <c r="F460" s="13"/>
      <c r="L460" s="13"/>
      <c r="N460" s="13"/>
    </row>
    <row r="461" ht="15.75" customHeight="1">
      <c r="A461" s="13"/>
      <c r="B461" s="13"/>
      <c r="C461" s="13"/>
      <c r="D461" s="13"/>
      <c r="E461" s="13"/>
      <c r="F461" s="13"/>
      <c r="L461" s="13"/>
      <c r="N461" s="13"/>
    </row>
    <row r="462" ht="15.75" customHeight="1">
      <c r="A462" s="13"/>
      <c r="B462" s="13"/>
      <c r="C462" s="13"/>
      <c r="D462" s="13"/>
      <c r="E462" s="13"/>
      <c r="F462" s="13"/>
      <c r="L462" s="13"/>
      <c r="N462" s="13"/>
    </row>
    <row r="463" ht="15.75" customHeight="1">
      <c r="A463" s="13"/>
      <c r="B463" s="13"/>
      <c r="C463" s="13"/>
      <c r="D463" s="13"/>
      <c r="E463" s="13"/>
      <c r="F463" s="13"/>
      <c r="L463" s="13"/>
      <c r="N463" s="13"/>
    </row>
    <row r="464" ht="15.75" customHeight="1">
      <c r="A464" s="13"/>
      <c r="B464" s="13"/>
      <c r="C464" s="13"/>
      <c r="D464" s="13"/>
      <c r="E464" s="13"/>
      <c r="F464" s="13"/>
      <c r="L464" s="13"/>
      <c r="N464" s="13"/>
    </row>
    <row r="465" ht="15.75" customHeight="1">
      <c r="A465" s="13"/>
      <c r="B465" s="13"/>
      <c r="C465" s="13"/>
      <c r="D465" s="13"/>
      <c r="E465" s="13"/>
      <c r="F465" s="13"/>
      <c r="L465" s="13"/>
      <c r="N465" s="13"/>
    </row>
    <row r="466" ht="15.75" customHeight="1">
      <c r="A466" s="13"/>
      <c r="B466" s="13"/>
      <c r="C466" s="13"/>
      <c r="D466" s="13"/>
      <c r="E466" s="13"/>
      <c r="F466" s="13"/>
      <c r="L466" s="13"/>
      <c r="N466" s="13"/>
    </row>
    <row r="467" ht="15.75" customHeight="1">
      <c r="A467" s="13"/>
      <c r="B467" s="13"/>
      <c r="C467" s="13"/>
      <c r="D467" s="13"/>
      <c r="E467" s="13"/>
      <c r="F467" s="13"/>
      <c r="L467" s="13"/>
      <c r="N467" s="13"/>
    </row>
    <row r="468" ht="15.75" customHeight="1">
      <c r="A468" s="13"/>
      <c r="B468" s="13"/>
      <c r="C468" s="13"/>
      <c r="D468" s="13"/>
      <c r="E468" s="13"/>
      <c r="F468" s="13"/>
      <c r="L468" s="13"/>
      <c r="N468" s="13"/>
    </row>
    <row r="469" ht="15.75" customHeight="1">
      <c r="A469" s="13"/>
      <c r="B469" s="13"/>
      <c r="C469" s="13"/>
      <c r="D469" s="13"/>
      <c r="E469" s="13"/>
      <c r="F469" s="13"/>
      <c r="L469" s="13"/>
      <c r="N469" s="13"/>
    </row>
    <row r="470" ht="15.75" customHeight="1">
      <c r="A470" s="13"/>
      <c r="B470" s="13"/>
      <c r="C470" s="13"/>
      <c r="D470" s="13"/>
      <c r="E470" s="13"/>
      <c r="F470" s="13"/>
      <c r="L470" s="13"/>
      <c r="N470" s="13"/>
    </row>
    <row r="471" ht="15.75" customHeight="1">
      <c r="A471" s="13"/>
      <c r="B471" s="13"/>
      <c r="C471" s="13"/>
      <c r="D471" s="13"/>
      <c r="E471" s="13"/>
      <c r="F471" s="13"/>
      <c r="L471" s="13"/>
      <c r="N471" s="13"/>
    </row>
    <row r="472" ht="15.75" customHeight="1">
      <c r="A472" s="13"/>
      <c r="B472" s="13"/>
      <c r="C472" s="13"/>
      <c r="D472" s="13"/>
      <c r="E472" s="13"/>
      <c r="F472" s="13"/>
      <c r="L472" s="13"/>
      <c r="N472" s="13"/>
    </row>
    <row r="473" ht="15.75" customHeight="1">
      <c r="A473" s="13"/>
      <c r="B473" s="13"/>
      <c r="C473" s="13"/>
      <c r="D473" s="13"/>
      <c r="E473" s="13"/>
      <c r="F473" s="13"/>
      <c r="L473" s="13"/>
      <c r="N473" s="13"/>
    </row>
    <row r="474" ht="15.75" customHeight="1">
      <c r="A474" s="13"/>
      <c r="B474" s="13"/>
      <c r="C474" s="13"/>
      <c r="D474" s="13"/>
      <c r="E474" s="13"/>
      <c r="F474" s="13"/>
      <c r="L474" s="13"/>
      <c r="N474" s="13"/>
    </row>
    <row r="475" ht="15.75" customHeight="1">
      <c r="A475" s="13"/>
      <c r="B475" s="13"/>
      <c r="C475" s="13"/>
      <c r="D475" s="13"/>
      <c r="E475" s="13"/>
      <c r="F475" s="13"/>
      <c r="L475" s="13"/>
      <c r="N475" s="13"/>
    </row>
    <row r="476" ht="15.75" customHeight="1">
      <c r="A476" s="13"/>
      <c r="B476" s="13"/>
      <c r="C476" s="13"/>
      <c r="D476" s="13"/>
      <c r="E476" s="13"/>
      <c r="F476" s="13"/>
      <c r="L476" s="13"/>
      <c r="N476" s="13"/>
    </row>
    <row r="477" ht="15.75" customHeight="1">
      <c r="A477" s="13"/>
      <c r="B477" s="13"/>
      <c r="C477" s="13"/>
      <c r="D477" s="13"/>
      <c r="E477" s="13"/>
      <c r="F477" s="13"/>
      <c r="L477" s="13"/>
      <c r="N477" s="13"/>
    </row>
    <row r="478" ht="15.75" customHeight="1">
      <c r="A478" s="13"/>
      <c r="B478" s="13"/>
      <c r="C478" s="13"/>
      <c r="D478" s="13"/>
      <c r="E478" s="13"/>
      <c r="F478" s="13"/>
      <c r="L478" s="13"/>
      <c r="N478" s="13"/>
    </row>
    <row r="479" ht="15.75" customHeight="1">
      <c r="A479" s="13"/>
      <c r="B479" s="13"/>
      <c r="C479" s="13"/>
      <c r="D479" s="13"/>
      <c r="E479" s="13"/>
      <c r="F479" s="13"/>
      <c r="L479" s="13"/>
      <c r="N479" s="13"/>
    </row>
    <row r="480" ht="15.75" customHeight="1">
      <c r="A480" s="13"/>
      <c r="B480" s="13"/>
      <c r="C480" s="13"/>
      <c r="D480" s="13"/>
      <c r="E480" s="13"/>
      <c r="F480" s="13"/>
      <c r="L480" s="13"/>
      <c r="N480" s="13"/>
    </row>
    <row r="481" ht="15.75" customHeight="1">
      <c r="A481" s="13"/>
      <c r="B481" s="13"/>
      <c r="C481" s="13"/>
      <c r="D481" s="13"/>
      <c r="E481" s="13"/>
      <c r="F481" s="13"/>
      <c r="L481" s="13"/>
      <c r="N481" s="13"/>
    </row>
    <row r="482" ht="15.75" customHeight="1">
      <c r="A482" s="13"/>
      <c r="B482" s="13"/>
      <c r="C482" s="13"/>
      <c r="D482" s="13"/>
      <c r="E482" s="13"/>
      <c r="F482" s="13"/>
      <c r="L482" s="13"/>
      <c r="N482" s="13"/>
    </row>
    <row r="483" ht="15.75" customHeight="1">
      <c r="A483" s="13"/>
      <c r="B483" s="13"/>
      <c r="C483" s="13"/>
      <c r="D483" s="13"/>
      <c r="E483" s="13"/>
      <c r="F483" s="13"/>
      <c r="L483" s="13"/>
      <c r="N483" s="13"/>
    </row>
    <row r="484" ht="15.75" customHeight="1">
      <c r="A484" s="13"/>
      <c r="B484" s="13"/>
      <c r="C484" s="13"/>
      <c r="D484" s="13"/>
      <c r="E484" s="13"/>
      <c r="F484" s="13"/>
      <c r="L484" s="13"/>
      <c r="N484" s="13"/>
    </row>
    <row r="485" ht="15.75" customHeight="1">
      <c r="A485" s="13"/>
      <c r="B485" s="13"/>
      <c r="C485" s="13"/>
      <c r="D485" s="13"/>
      <c r="E485" s="13"/>
      <c r="F485" s="13"/>
      <c r="L485" s="13"/>
      <c r="N485" s="13"/>
    </row>
    <row r="486" ht="15.75" customHeight="1">
      <c r="A486" s="13"/>
      <c r="B486" s="13"/>
      <c r="C486" s="13"/>
      <c r="D486" s="13"/>
      <c r="E486" s="13"/>
      <c r="F486" s="13"/>
      <c r="L486" s="13"/>
      <c r="N486" s="13"/>
    </row>
    <row r="487" ht="15.75" customHeight="1">
      <c r="A487" s="13"/>
      <c r="B487" s="13"/>
      <c r="C487" s="13"/>
      <c r="D487" s="13"/>
      <c r="E487" s="13"/>
      <c r="F487" s="13"/>
      <c r="L487" s="13"/>
      <c r="N487" s="13"/>
    </row>
    <row r="488" ht="15.75" customHeight="1">
      <c r="A488" s="13"/>
      <c r="B488" s="13"/>
      <c r="C488" s="13"/>
      <c r="D488" s="13"/>
      <c r="E488" s="13"/>
      <c r="F488" s="13"/>
      <c r="L488" s="13"/>
      <c r="N488" s="13"/>
    </row>
    <row r="489" ht="15.75" customHeight="1">
      <c r="A489" s="13"/>
      <c r="B489" s="13"/>
      <c r="C489" s="13"/>
      <c r="D489" s="13"/>
      <c r="E489" s="13"/>
      <c r="F489" s="13"/>
      <c r="L489" s="13"/>
      <c r="N489" s="13"/>
    </row>
    <row r="490" ht="15.75" customHeight="1">
      <c r="A490" s="13"/>
      <c r="B490" s="13"/>
      <c r="C490" s="13"/>
      <c r="D490" s="13"/>
      <c r="E490" s="13"/>
      <c r="F490" s="13"/>
      <c r="L490" s="13"/>
      <c r="N490" s="13"/>
    </row>
    <row r="491" ht="15.75" customHeight="1">
      <c r="A491" s="13"/>
      <c r="B491" s="13"/>
      <c r="C491" s="13"/>
      <c r="D491" s="13"/>
      <c r="E491" s="13"/>
      <c r="F491" s="13"/>
      <c r="L491" s="13"/>
      <c r="N491" s="13"/>
    </row>
    <row r="492" ht="15.75" customHeight="1">
      <c r="A492" s="13"/>
      <c r="B492" s="13"/>
      <c r="C492" s="13"/>
      <c r="D492" s="13"/>
      <c r="E492" s="13"/>
      <c r="F492" s="13"/>
      <c r="L492" s="13"/>
      <c r="N492" s="13"/>
    </row>
    <row r="493" ht="15.75" customHeight="1">
      <c r="A493" s="13"/>
      <c r="B493" s="13"/>
      <c r="C493" s="13"/>
      <c r="D493" s="13"/>
      <c r="E493" s="13"/>
      <c r="F493" s="13"/>
      <c r="L493" s="13"/>
      <c r="N493" s="13"/>
    </row>
    <row r="494" ht="15.75" customHeight="1">
      <c r="A494" s="13"/>
      <c r="B494" s="13"/>
      <c r="C494" s="13"/>
      <c r="D494" s="13"/>
      <c r="E494" s="13"/>
      <c r="F494" s="13"/>
      <c r="L494" s="13"/>
      <c r="N494" s="13"/>
    </row>
    <row r="495" ht="15.75" customHeight="1">
      <c r="A495" s="13"/>
      <c r="B495" s="13"/>
      <c r="C495" s="13"/>
      <c r="D495" s="13"/>
      <c r="E495" s="13"/>
      <c r="F495" s="13"/>
      <c r="L495" s="13"/>
      <c r="N495" s="13"/>
    </row>
    <row r="496" ht="15.75" customHeight="1">
      <c r="A496" s="13"/>
      <c r="B496" s="13"/>
      <c r="C496" s="13"/>
      <c r="D496" s="13"/>
      <c r="E496" s="13"/>
      <c r="F496" s="13"/>
      <c r="L496" s="13"/>
      <c r="N496" s="13"/>
    </row>
    <row r="497" ht="15.75" customHeight="1">
      <c r="A497" s="13"/>
      <c r="B497" s="13"/>
      <c r="C497" s="13"/>
      <c r="D497" s="13"/>
      <c r="E497" s="13"/>
      <c r="F497" s="13"/>
      <c r="L497" s="13"/>
      <c r="N497" s="13"/>
    </row>
    <row r="498" ht="15.75" customHeight="1">
      <c r="A498" s="13"/>
      <c r="B498" s="13"/>
      <c r="C498" s="13"/>
      <c r="D498" s="13"/>
      <c r="E498" s="13"/>
      <c r="F498" s="13"/>
      <c r="L498" s="13"/>
      <c r="N498" s="13"/>
    </row>
    <row r="499" ht="15.75" customHeight="1">
      <c r="A499" s="13"/>
      <c r="B499" s="13"/>
      <c r="C499" s="13"/>
      <c r="D499" s="13"/>
      <c r="E499" s="13"/>
      <c r="F499" s="13"/>
      <c r="L499" s="13"/>
      <c r="N499" s="13"/>
    </row>
    <row r="500" ht="15.75" customHeight="1">
      <c r="A500" s="13"/>
      <c r="B500" s="13"/>
      <c r="C500" s="13"/>
      <c r="D500" s="13"/>
      <c r="E500" s="13"/>
      <c r="F500" s="13"/>
      <c r="L500" s="13"/>
      <c r="N500" s="13"/>
    </row>
    <row r="501" ht="15.75" customHeight="1">
      <c r="A501" s="13"/>
      <c r="B501" s="13"/>
      <c r="C501" s="13"/>
      <c r="D501" s="13"/>
      <c r="E501" s="13"/>
      <c r="F501" s="13"/>
      <c r="L501" s="13"/>
      <c r="N501" s="13"/>
    </row>
    <row r="502" ht="15.75" customHeight="1">
      <c r="A502" s="13"/>
      <c r="B502" s="13"/>
      <c r="C502" s="13"/>
      <c r="D502" s="13"/>
      <c r="E502" s="13"/>
      <c r="F502" s="13"/>
      <c r="L502" s="13"/>
      <c r="N502" s="13"/>
    </row>
    <row r="503" ht="15.75" customHeight="1">
      <c r="A503" s="13"/>
      <c r="B503" s="13"/>
      <c r="C503" s="13"/>
      <c r="D503" s="13"/>
      <c r="E503" s="13"/>
      <c r="F503" s="13"/>
      <c r="L503" s="13"/>
      <c r="N503" s="13"/>
    </row>
    <row r="504" ht="15.75" customHeight="1">
      <c r="A504" s="13"/>
      <c r="B504" s="13"/>
      <c r="C504" s="13"/>
      <c r="D504" s="13"/>
      <c r="E504" s="13"/>
      <c r="F504" s="13"/>
      <c r="L504" s="13"/>
      <c r="N504" s="13"/>
    </row>
    <row r="505" ht="15.75" customHeight="1">
      <c r="A505" s="13"/>
      <c r="B505" s="13"/>
      <c r="C505" s="13"/>
      <c r="D505" s="13"/>
      <c r="E505" s="13"/>
      <c r="F505" s="13"/>
      <c r="L505" s="13"/>
      <c r="N505" s="13"/>
    </row>
    <row r="506" ht="15.75" customHeight="1">
      <c r="A506" s="13"/>
      <c r="B506" s="13"/>
      <c r="C506" s="13"/>
      <c r="D506" s="13"/>
      <c r="E506" s="13"/>
      <c r="F506" s="13"/>
      <c r="L506" s="13"/>
      <c r="N506" s="13"/>
    </row>
    <row r="507" ht="15.75" customHeight="1">
      <c r="A507" s="13"/>
      <c r="B507" s="13"/>
      <c r="C507" s="13"/>
      <c r="D507" s="13"/>
      <c r="E507" s="13"/>
      <c r="F507" s="13"/>
      <c r="L507" s="13"/>
      <c r="N507" s="13"/>
    </row>
    <row r="508" ht="15.75" customHeight="1">
      <c r="A508" s="13"/>
      <c r="B508" s="13"/>
      <c r="C508" s="13"/>
      <c r="D508" s="13"/>
      <c r="E508" s="13"/>
      <c r="F508" s="13"/>
      <c r="L508" s="13"/>
      <c r="N508" s="13"/>
    </row>
    <row r="509" ht="15.75" customHeight="1">
      <c r="A509" s="13"/>
      <c r="B509" s="13"/>
      <c r="C509" s="13"/>
      <c r="D509" s="13"/>
      <c r="E509" s="13"/>
      <c r="F509" s="13"/>
      <c r="L509" s="13"/>
      <c r="N509" s="13"/>
    </row>
    <row r="510" ht="15.75" customHeight="1">
      <c r="A510" s="13"/>
      <c r="B510" s="13"/>
      <c r="C510" s="13"/>
      <c r="D510" s="13"/>
      <c r="E510" s="13"/>
      <c r="F510" s="13"/>
      <c r="L510" s="13"/>
      <c r="N510" s="13"/>
    </row>
    <row r="511" ht="15.75" customHeight="1">
      <c r="A511" s="13"/>
      <c r="B511" s="13"/>
      <c r="C511" s="13"/>
      <c r="D511" s="13"/>
      <c r="E511" s="13"/>
      <c r="F511" s="13"/>
      <c r="L511" s="13"/>
      <c r="N511" s="13"/>
    </row>
    <row r="512" ht="15.75" customHeight="1">
      <c r="A512" s="13"/>
      <c r="B512" s="13"/>
      <c r="C512" s="13"/>
      <c r="D512" s="13"/>
      <c r="E512" s="13"/>
      <c r="F512" s="13"/>
      <c r="L512" s="13"/>
      <c r="N512" s="13"/>
    </row>
    <row r="513" ht="15.75" customHeight="1">
      <c r="A513" s="13"/>
      <c r="B513" s="13"/>
      <c r="C513" s="13"/>
      <c r="D513" s="13"/>
      <c r="E513" s="13"/>
      <c r="F513" s="13"/>
      <c r="L513" s="13"/>
      <c r="N513" s="13"/>
    </row>
    <row r="514" ht="15.75" customHeight="1">
      <c r="A514" s="13"/>
      <c r="B514" s="13"/>
      <c r="C514" s="13"/>
      <c r="D514" s="13"/>
      <c r="E514" s="13"/>
      <c r="F514" s="13"/>
      <c r="L514" s="13"/>
      <c r="N514" s="13"/>
    </row>
    <row r="515" ht="15.75" customHeight="1">
      <c r="A515" s="13"/>
      <c r="B515" s="13"/>
      <c r="C515" s="13"/>
      <c r="D515" s="13"/>
      <c r="E515" s="13"/>
      <c r="F515" s="13"/>
      <c r="L515" s="13"/>
      <c r="N515" s="13"/>
    </row>
    <row r="516" ht="15.75" customHeight="1">
      <c r="A516" s="13"/>
      <c r="B516" s="13"/>
      <c r="C516" s="13"/>
      <c r="D516" s="13"/>
      <c r="E516" s="13"/>
      <c r="F516" s="13"/>
      <c r="L516" s="13"/>
      <c r="N516" s="13"/>
    </row>
    <row r="517" ht="15.75" customHeight="1">
      <c r="A517" s="13"/>
      <c r="B517" s="13"/>
      <c r="C517" s="13"/>
      <c r="D517" s="13"/>
      <c r="E517" s="13"/>
      <c r="F517" s="13"/>
      <c r="L517" s="13"/>
      <c r="N517" s="13"/>
    </row>
    <row r="518" ht="15.75" customHeight="1">
      <c r="A518" s="13"/>
      <c r="B518" s="13"/>
      <c r="C518" s="13"/>
      <c r="D518" s="13"/>
      <c r="E518" s="13"/>
      <c r="F518" s="13"/>
      <c r="L518" s="13"/>
      <c r="N518" s="13"/>
    </row>
    <row r="519" ht="15.75" customHeight="1">
      <c r="A519" s="13"/>
      <c r="B519" s="13"/>
      <c r="C519" s="13"/>
      <c r="D519" s="13"/>
      <c r="E519" s="13"/>
      <c r="F519" s="13"/>
      <c r="L519" s="13"/>
      <c r="N519" s="13"/>
    </row>
    <row r="520" ht="15.75" customHeight="1">
      <c r="A520" s="13"/>
      <c r="B520" s="13"/>
      <c r="C520" s="13"/>
      <c r="D520" s="13"/>
      <c r="E520" s="13"/>
      <c r="F520" s="13"/>
      <c r="L520" s="13"/>
      <c r="N520" s="13"/>
    </row>
    <row r="521" ht="15.75" customHeight="1">
      <c r="A521" s="13"/>
      <c r="B521" s="13"/>
      <c r="C521" s="13"/>
      <c r="D521" s="13"/>
      <c r="E521" s="13"/>
      <c r="F521" s="13"/>
      <c r="L521" s="13"/>
      <c r="N521" s="13"/>
    </row>
    <row r="522" ht="15.75" customHeight="1">
      <c r="A522" s="13"/>
      <c r="B522" s="13"/>
      <c r="C522" s="13"/>
      <c r="D522" s="13"/>
      <c r="E522" s="13"/>
      <c r="F522" s="13"/>
      <c r="L522" s="13"/>
      <c r="N522" s="13"/>
    </row>
    <row r="523" ht="15.75" customHeight="1">
      <c r="A523" s="13"/>
      <c r="B523" s="13"/>
      <c r="C523" s="13"/>
      <c r="D523" s="13"/>
      <c r="E523" s="13"/>
      <c r="F523" s="13"/>
      <c r="L523" s="13"/>
      <c r="N523" s="13"/>
    </row>
    <row r="524" ht="15.75" customHeight="1">
      <c r="A524" s="13"/>
      <c r="B524" s="13"/>
      <c r="C524" s="13"/>
      <c r="D524" s="13"/>
      <c r="E524" s="13"/>
      <c r="F524" s="13"/>
      <c r="L524" s="13"/>
      <c r="N524" s="13"/>
    </row>
    <row r="525" ht="15.75" customHeight="1">
      <c r="A525" s="13"/>
      <c r="B525" s="13"/>
      <c r="C525" s="13"/>
      <c r="D525" s="13"/>
      <c r="E525" s="13"/>
      <c r="F525" s="13"/>
      <c r="L525" s="13"/>
      <c r="N525" s="13"/>
    </row>
    <row r="526" ht="15.75" customHeight="1">
      <c r="A526" s="13"/>
      <c r="B526" s="13"/>
      <c r="C526" s="13"/>
      <c r="D526" s="13"/>
      <c r="E526" s="13"/>
      <c r="F526" s="13"/>
      <c r="L526" s="13"/>
      <c r="N526" s="13"/>
    </row>
    <row r="527" ht="15.75" customHeight="1">
      <c r="A527" s="13"/>
      <c r="B527" s="13"/>
      <c r="C527" s="13"/>
      <c r="D527" s="13"/>
      <c r="E527" s="13"/>
      <c r="F527" s="13"/>
      <c r="L527" s="13"/>
      <c r="N527" s="13"/>
    </row>
    <row r="528" ht="15.75" customHeight="1">
      <c r="A528" s="13"/>
      <c r="B528" s="13"/>
      <c r="C528" s="13"/>
      <c r="D528" s="13"/>
      <c r="E528" s="13"/>
      <c r="F528" s="13"/>
      <c r="L528" s="13"/>
      <c r="N528" s="13"/>
    </row>
    <row r="529" ht="15.75" customHeight="1">
      <c r="A529" s="13"/>
      <c r="B529" s="13"/>
      <c r="C529" s="13"/>
      <c r="D529" s="13"/>
      <c r="E529" s="13"/>
      <c r="F529" s="13"/>
      <c r="L529" s="13"/>
      <c r="N529" s="13"/>
    </row>
    <row r="530" ht="15.75" customHeight="1">
      <c r="A530" s="13"/>
      <c r="B530" s="13"/>
      <c r="C530" s="13"/>
      <c r="D530" s="13"/>
      <c r="E530" s="13"/>
      <c r="F530" s="13"/>
      <c r="L530" s="13"/>
      <c r="N530" s="13"/>
    </row>
    <row r="531" ht="15.75" customHeight="1">
      <c r="A531" s="13"/>
      <c r="B531" s="13"/>
      <c r="C531" s="13"/>
      <c r="D531" s="13"/>
      <c r="E531" s="13"/>
      <c r="F531" s="13"/>
      <c r="L531" s="13"/>
      <c r="N531" s="13"/>
    </row>
    <row r="532" ht="15.75" customHeight="1">
      <c r="A532" s="13"/>
      <c r="B532" s="13"/>
      <c r="C532" s="13"/>
      <c r="D532" s="13"/>
      <c r="E532" s="13"/>
      <c r="F532" s="13"/>
      <c r="L532" s="13"/>
      <c r="N532" s="13"/>
    </row>
    <row r="533" ht="15.75" customHeight="1">
      <c r="A533" s="13"/>
      <c r="B533" s="13"/>
      <c r="C533" s="13"/>
      <c r="D533" s="13"/>
      <c r="E533" s="13"/>
      <c r="F533" s="13"/>
      <c r="L533" s="13"/>
      <c r="N533" s="13"/>
    </row>
    <row r="534" ht="15.75" customHeight="1">
      <c r="A534" s="13"/>
      <c r="B534" s="13"/>
      <c r="C534" s="13"/>
      <c r="D534" s="13"/>
      <c r="E534" s="13"/>
      <c r="F534" s="13"/>
      <c r="L534" s="13"/>
      <c r="N534" s="13"/>
    </row>
    <row r="535" ht="15.75" customHeight="1">
      <c r="A535" s="13"/>
      <c r="B535" s="13"/>
      <c r="C535" s="13"/>
      <c r="D535" s="13"/>
      <c r="E535" s="13"/>
      <c r="F535" s="13"/>
      <c r="L535" s="13"/>
      <c r="N535" s="13"/>
    </row>
    <row r="536" ht="15.75" customHeight="1">
      <c r="A536" s="13"/>
      <c r="B536" s="13"/>
      <c r="C536" s="13"/>
      <c r="D536" s="13"/>
      <c r="E536" s="13"/>
      <c r="F536" s="13"/>
      <c r="L536" s="13"/>
      <c r="N536" s="13"/>
    </row>
    <row r="537" ht="15.75" customHeight="1">
      <c r="A537" s="13"/>
      <c r="B537" s="13"/>
      <c r="C537" s="13"/>
      <c r="D537" s="13"/>
      <c r="E537" s="13"/>
      <c r="F537" s="13"/>
      <c r="L537" s="13"/>
      <c r="N537" s="13"/>
    </row>
    <row r="538" ht="15.75" customHeight="1">
      <c r="A538" s="13"/>
      <c r="B538" s="13"/>
      <c r="C538" s="13"/>
      <c r="D538" s="13"/>
      <c r="E538" s="13"/>
      <c r="F538" s="13"/>
      <c r="L538" s="13"/>
      <c r="N538" s="13"/>
    </row>
    <row r="539" ht="15.75" customHeight="1">
      <c r="A539" s="13"/>
      <c r="B539" s="13"/>
      <c r="C539" s="13"/>
      <c r="D539" s="13"/>
      <c r="E539" s="13"/>
      <c r="F539" s="13"/>
      <c r="L539" s="13"/>
      <c r="N539" s="13"/>
    </row>
    <row r="540" ht="15.75" customHeight="1">
      <c r="A540" s="13"/>
      <c r="B540" s="13"/>
      <c r="C540" s="13"/>
      <c r="D540" s="13"/>
      <c r="E540" s="13"/>
      <c r="F540" s="13"/>
      <c r="L540" s="13"/>
      <c r="N540" s="13"/>
    </row>
    <row r="541" ht="15.75" customHeight="1">
      <c r="A541" s="13"/>
      <c r="B541" s="13"/>
      <c r="C541" s="13"/>
      <c r="D541" s="13"/>
      <c r="E541" s="13"/>
      <c r="F541" s="13"/>
      <c r="L541" s="13"/>
      <c r="N541" s="13"/>
    </row>
    <row r="542" ht="15.75" customHeight="1">
      <c r="A542" s="13"/>
      <c r="B542" s="13"/>
      <c r="C542" s="13"/>
      <c r="D542" s="13"/>
      <c r="E542" s="13"/>
      <c r="F542" s="13"/>
      <c r="L542" s="13"/>
      <c r="N542" s="13"/>
    </row>
    <row r="543" ht="15.75" customHeight="1">
      <c r="A543" s="13"/>
      <c r="B543" s="13"/>
      <c r="C543" s="13"/>
      <c r="D543" s="13"/>
      <c r="E543" s="13"/>
      <c r="F543" s="13"/>
      <c r="L543" s="13"/>
      <c r="N543" s="13"/>
    </row>
    <row r="544" ht="15.75" customHeight="1">
      <c r="A544" s="13"/>
      <c r="B544" s="13"/>
      <c r="C544" s="13"/>
      <c r="D544" s="13"/>
      <c r="E544" s="13"/>
      <c r="F544" s="13"/>
      <c r="L544" s="13"/>
      <c r="N544" s="13"/>
    </row>
    <row r="545" ht="15.75" customHeight="1">
      <c r="A545" s="13"/>
      <c r="B545" s="13"/>
      <c r="C545" s="13"/>
      <c r="D545" s="13"/>
      <c r="E545" s="13"/>
      <c r="F545" s="13"/>
      <c r="L545" s="13"/>
      <c r="N545" s="13"/>
    </row>
    <row r="546" ht="15.75" customHeight="1">
      <c r="A546" s="13"/>
      <c r="B546" s="13"/>
      <c r="C546" s="13"/>
      <c r="D546" s="13"/>
      <c r="E546" s="13"/>
      <c r="F546" s="13"/>
      <c r="L546" s="13"/>
      <c r="N546" s="13"/>
    </row>
    <row r="547" ht="15.75" customHeight="1">
      <c r="A547" s="13"/>
      <c r="B547" s="13"/>
      <c r="C547" s="13"/>
      <c r="D547" s="13"/>
      <c r="E547" s="13"/>
      <c r="F547" s="13"/>
      <c r="L547" s="13"/>
      <c r="N547" s="13"/>
    </row>
    <row r="548" ht="15.75" customHeight="1">
      <c r="A548" s="13"/>
      <c r="B548" s="13"/>
      <c r="C548" s="13"/>
      <c r="D548" s="13"/>
      <c r="E548" s="13"/>
      <c r="F548" s="13"/>
      <c r="L548" s="13"/>
      <c r="N548" s="13"/>
    </row>
    <row r="549" ht="15.75" customHeight="1">
      <c r="A549" s="13"/>
      <c r="B549" s="13"/>
      <c r="C549" s="13"/>
      <c r="D549" s="13"/>
      <c r="E549" s="13"/>
      <c r="F549" s="13"/>
      <c r="L549" s="13"/>
      <c r="N549" s="13"/>
    </row>
    <row r="550" ht="15.75" customHeight="1">
      <c r="A550" s="13"/>
      <c r="B550" s="13"/>
      <c r="C550" s="13"/>
      <c r="D550" s="13"/>
      <c r="E550" s="13"/>
      <c r="F550" s="13"/>
      <c r="L550" s="13"/>
      <c r="N550" s="13"/>
    </row>
    <row r="551" ht="15.75" customHeight="1">
      <c r="A551" s="13"/>
      <c r="B551" s="13"/>
      <c r="C551" s="13"/>
      <c r="D551" s="13"/>
      <c r="E551" s="13"/>
      <c r="F551" s="13"/>
      <c r="L551" s="13"/>
      <c r="N551" s="13"/>
    </row>
    <row r="552" ht="15.75" customHeight="1">
      <c r="A552" s="13"/>
      <c r="B552" s="13"/>
      <c r="C552" s="13"/>
      <c r="D552" s="13"/>
      <c r="E552" s="13"/>
      <c r="F552" s="13"/>
      <c r="L552" s="13"/>
      <c r="N552" s="13"/>
    </row>
    <row r="553" ht="15.75" customHeight="1">
      <c r="A553" s="13"/>
      <c r="B553" s="13"/>
      <c r="C553" s="13"/>
      <c r="D553" s="13"/>
      <c r="E553" s="13"/>
      <c r="F553" s="13"/>
      <c r="L553" s="13"/>
      <c r="N553" s="13"/>
    </row>
    <row r="554" ht="15.75" customHeight="1">
      <c r="A554" s="13"/>
      <c r="B554" s="13"/>
      <c r="C554" s="13"/>
      <c r="D554" s="13"/>
      <c r="E554" s="13"/>
      <c r="F554" s="13"/>
      <c r="L554" s="13"/>
      <c r="N554" s="13"/>
    </row>
    <row r="555" ht="15.75" customHeight="1">
      <c r="A555" s="13"/>
      <c r="B555" s="13"/>
      <c r="C555" s="13"/>
      <c r="D555" s="13"/>
      <c r="E555" s="13"/>
      <c r="F555" s="13"/>
      <c r="L555" s="13"/>
      <c r="N555" s="13"/>
    </row>
    <row r="556" ht="15.75" customHeight="1">
      <c r="A556" s="13"/>
      <c r="B556" s="13"/>
      <c r="C556" s="13"/>
      <c r="D556" s="13"/>
      <c r="E556" s="13"/>
      <c r="F556" s="13"/>
      <c r="L556" s="13"/>
      <c r="N556" s="13"/>
    </row>
    <row r="557" ht="15.75" customHeight="1">
      <c r="A557" s="13"/>
      <c r="B557" s="13"/>
      <c r="C557" s="13"/>
      <c r="D557" s="13"/>
      <c r="E557" s="13"/>
      <c r="F557" s="13"/>
      <c r="L557" s="13"/>
      <c r="N557" s="13"/>
    </row>
    <row r="558" ht="15.75" customHeight="1">
      <c r="A558" s="13"/>
      <c r="B558" s="13"/>
      <c r="C558" s="13"/>
      <c r="D558" s="13"/>
      <c r="E558" s="13"/>
      <c r="F558" s="13"/>
      <c r="L558" s="13"/>
      <c r="N558" s="13"/>
    </row>
    <row r="559" ht="15.75" customHeight="1">
      <c r="A559" s="13"/>
      <c r="B559" s="13"/>
      <c r="C559" s="13"/>
      <c r="D559" s="13"/>
      <c r="E559" s="13"/>
      <c r="F559" s="13"/>
      <c r="L559" s="13"/>
      <c r="N559" s="13"/>
    </row>
    <row r="560" ht="15.75" customHeight="1">
      <c r="A560" s="13"/>
      <c r="B560" s="13"/>
      <c r="C560" s="13"/>
      <c r="D560" s="13"/>
      <c r="E560" s="13"/>
      <c r="F560" s="13"/>
      <c r="L560" s="13"/>
      <c r="N560" s="13"/>
    </row>
    <row r="561" ht="15.75" customHeight="1">
      <c r="A561" s="13"/>
      <c r="B561" s="13"/>
      <c r="C561" s="13"/>
      <c r="D561" s="13"/>
      <c r="E561" s="13"/>
      <c r="F561" s="13"/>
      <c r="L561" s="13"/>
      <c r="N561" s="13"/>
    </row>
    <row r="562" ht="15.75" customHeight="1">
      <c r="A562" s="13"/>
      <c r="B562" s="13"/>
      <c r="C562" s="13"/>
      <c r="D562" s="13"/>
      <c r="E562" s="13"/>
      <c r="F562" s="13"/>
      <c r="L562" s="13"/>
      <c r="N562" s="13"/>
    </row>
    <row r="563" ht="15.75" customHeight="1">
      <c r="A563" s="13"/>
      <c r="B563" s="13"/>
      <c r="C563" s="13"/>
      <c r="D563" s="13"/>
      <c r="E563" s="13"/>
      <c r="F563" s="13"/>
      <c r="L563" s="13"/>
      <c r="N563" s="13"/>
    </row>
    <row r="564" ht="15.75" customHeight="1">
      <c r="A564" s="13"/>
      <c r="B564" s="13"/>
      <c r="C564" s="13"/>
      <c r="D564" s="13"/>
      <c r="E564" s="13"/>
      <c r="F564" s="13"/>
      <c r="L564" s="13"/>
      <c r="N564" s="13"/>
    </row>
    <row r="565" ht="15.75" customHeight="1">
      <c r="A565" s="13"/>
      <c r="B565" s="13"/>
      <c r="C565" s="13"/>
      <c r="D565" s="13"/>
      <c r="E565" s="13"/>
      <c r="F565" s="13"/>
      <c r="L565" s="13"/>
      <c r="N565" s="13"/>
    </row>
    <row r="566" ht="15.75" customHeight="1">
      <c r="A566" s="13"/>
      <c r="B566" s="13"/>
      <c r="C566" s="13"/>
      <c r="D566" s="13"/>
      <c r="E566" s="13"/>
      <c r="F566" s="13"/>
      <c r="L566" s="13"/>
      <c r="N566" s="13"/>
    </row>
    <row r="567" ht="15.75" customHeight="1">
      <c r="A567" s="13"/>
      <c r="B567" s="13"/>
      <c r="C567" s="13"/>
      <c r="D567" s="13"/>
      <c r="E567" s="13"/>
      <c r="F567" s="13"/>
      <c r="L567" s="13"/>
      <c r="N567" s="13"/>
    </row>
    <row r="568" ht="15.75" customHeight="1">
      <c r="A568" s="13"/>
      <c r="B568" s="13"/>
      <c r="C568" s="13"/>
      <c r="D568" s="13"/>
      <c r="E568" s="13"/>
      <c r="F568" s="13"/>
      <c r="L568" s="13"/>
      <c r="N568" s="13"/>
    </row>
    <row r="569" ht="15.75" customHeight="1">
      <c r="A569" s="13"/>
      <c r="B569" s="13"/>
      <c r="C569" s="13"/>
      <c r="D569" s="13"/>
      <c r="E569" s="13"/>
      <c r="F569" s="13"/>
      <c r="L569" s="13"/>
      <c r="N569" s="13"/>
    </row>
    <row r="570" ht="15.75" customHeight="1">
      <c r="A570" s="13"/>
      <c r="B570" s="13"/>
      <c r="C570" s="13"/>
      <c r="D570" s="13"/>
      <c r="E570" s="13"/>
      <c r="F570" s="13"/>
      <c r="L570" s="13"/>
      <c r="N570" s="13"/>
    </row>
    <row r="571" ht="15.75" customHeight="1">
      <c r="A571" s="13"/>
      <c r="B571" s="13"/>
      <c r="C571" s="13"/>
      <c r="D571" s="13"/>
      <c r="E571" s="13"/>
      <c r="F571" s="13"/>
      <c r="L571" s="13"/>
      <c r="N571" s="13"/>
    </row>
    <row r="572" ht="15.75" customHeight="1">
      <c r="A572" s="13"/>
      <c r="B572" s="13"/>
      <c r="C572" s="13"/>
      <c r="D572" s="13"/>
      <c r="E572" s="13"/>
      <c r="F572" s="13"/>
      <c r="L572" s="13"/>
      <c r="N572" s="13"/>
    </row>
    <row r="573" ht="15.75" customHeight="1">
      <c r="A573" s="13"/>
      <c r="B573" s="13"/>
      <c r="C573" s="13"/>
      <c r="D573" s="13"/>
      <c r="E573" s="13"/>
      <c r="F573" s="13"/>
      <c r="L573" s="13"/>
      <c r="N573" s="13"/>
    </row>
    <row r="574" ht="15.75" customHeight="1">
      <c r="A574" s="13"/>
      <c r="B574" s="13"/>
      <c r="C574" s="13"/>
      <c r="D574" s="13"/>
      <c r="E574" s="13"/>
      <c r="F574" s="13"/>
      <c r="L574" s="13"/>
      <c r="N574" s="13"/>
    </row>
    <row r="575" ht="15.75" customHeight="1">
      <c r="A575" s="13"/>
      <c r="B575" s="13"/>
      <c r="C575" s="13"/>
      <c r="D575" s="13"/>
      <c r="E575" s="13"/>
      <c r="F575" s="13"/>
      <c r="L575" s="13"/>
      <c r="N575" s="13"/>
    </row>
    <row r="576" ht="15.75" customHeight="1">
      <c r="A576" s="13"/>
      <c r="B576" s="13"/>
      <c r="C576" s="13"/>
      <c r="D576" s="13"/>
      <c r="E576" s="13"/>
      <c r="F576" s="13"/>
      <c r="L576" s="13"/>
      <c r="N576" s="13"/>
    </row>
    <row r="577" ht="15.75" customHeight="1">
      <c r="A577" s="13"/>
      <c r="B577" s="13"/>
      <c r="C577" s="13"/>
      <c r="D577" s="13"/>
      <c r="E577" s="13"/>
      <c r="F577" s="13"/>
      <c r="L577" s="13"/>
      <c r="N577" s="13"/>
    </row>
    <row r="578" ht="15.75" customHeight="1">
      <c r="A578" s="13"/>
      <c r="B578" s="13"/>
      <c r="C578" s="13"/>
      <c r="D578" s="13"/>
      <c r="E578" s="13"/>
      <c r="F578" s="13"/>
      <c r="L578" s="13"/>
      <c r="N578" s="13"/>
    </row>
    <row r="579" ht="15.75" customHeight="1">
      <c r="A579" s="13"/>
      <c r="B579" s="13"/>
      <c r="C579" s="13"/>
      <c r="D579" s="13"/>
      <c r="E579" s="13"/>
      <c r="F579" s="13"/>
      <c r="L579" s="13"/>
      <c r="N579" s="13"/>
    </row>
    <row r="580" ht="15.75" customHeight="1">
      <c r="A580" s="13"/>
      <c r="B580" s="13"/>
      <c r="C580" s="13"/>
      <c r="D580" s="13"/>
      <c r="E580" s="13"/>
      <c r="F580" s="13"/>
      <c r="L580" s="13"/>
      <c r="N580" s="13"/>
    </row>
    <row r="581" ht="15.75" customHeight="1">
      <c r="A581" s="13"/>
      <c r="B581" s="13"/>
      <c r="C581" s="13"/>
      <c r="D581" s="13"/>
      <c r="E581" s="13"/>
      <c r="F581" s="13"/>
      <c r="L581" s="13"/>
      <c r="N581" s="13"/>
    </row>
    <row r="582" ht="15.75" customHeight="1">
      <c r="A582" s="13"/>
      <c r="B582" s="13"/>
      <c r="C582" s="13"/>
      <c r="D582" s="13"/>
      <c r="E582" s="13"/>
      <c r="F582" s="13"/>
      <c r="L582" s="13"/>
      <c r="N582" s="13"/>
    </row>
    <row r="583" ht="15.75" customHeight="1">
      <c r="A583" s="13"/>
      <c r="B583" s="13"/>
      <c r="C583" s="13"/>
      <c r="D583" s="13"/>
      <c r="E583" s="13"/>
      <c r="F583" s="13"/>
      <c r="L583" s="13"/>
      <c r="N583" s="13"/>
    </row>
    <row r="584" ht="15.75" customHeight="1">
      <c r="A584" s="13"/>
      <c r="B584" s="13"/>
      <c r="C584" s="13"/>
      <c r="D584" s="13"/>
      <c r="E584" s="13"/>
      <c r="F584" s="13"/>
      <c r="L584" s="13"/>
      <c r="N584" s="13"/>
    </row>
    <row r="585" ht="15.75" customHeight="1">
      <c r="A585" s="13"/>
      <c r="B585" s="13"/>
      <c r="C585" s="13"/>
      <c r="D585" s="13"/>
      <c r="E585" s="13"/>
      <c r="F585" s="13"/>
      <c r="L585" s="13"/>
      <c r="N585" s="13"/>
    </row>
    <row r="586" ht="15.75" customHeight="1">
      <c r="A586" s="13"/>
      <c r="B586" s="13"/>
      <c r="C586" s="13"/>
      <c r="D586" s="13"/>
      <c r="E586" s="13"/>
      <c r="F586" s="13"/>
      <c r="L586" s="13"/>
      <c r="N586" s="13"/>
    </row>
    <row r="587" ht="15.75" customHeight="1">
      <c r="A587" s="13"/>
      <c r="B587" s="13"/>
      <c r="C587" s="13"/>
      <c r="D587" s="13"/>
      <c r="E587" s="13"/>
      <c r="F587" s="13"/>
      <c r="L587" s="13"/>
      <c r="N587" s="13"/>
    </row>
    <row r="588" ht="15.75" customHeight="1">
      <c r="A588" s="13"/>
      <c r="B588" s="13"/>
      <c r="C588" s="13"/>
      <c r="D588" s="13"/>
      <c r="E588" s="13"/>
      <c r="F588" s="13"/>
      <c r="L588" s="13"/>
      <c r="N588" s="13"/>
    </row>
    <row r="589" ht="15.75" customHeight="1">
      <c r="A589" s="13"/>
      <c r="B589" s="13"/>
      <c r="C589" s="13"/>
      <c r="D589" s="13"/>
      <c r="E589" s="13"/>
      <c r="F589" s="13"/>
      <c r="L589" s="13"/>
      <c r="N589" s="13"/>
    </row>
    <row r="590" ht="15.75" customHeight="1">
      <c r="A590" s="13"/>
      <c r="B590" s="13"/>
      <c r="C590" s="13"/>
      <c r="D590" s="13"/>
      <c r="E590" s="13"/>
      <c r="F590" s="13"/>
      <c r="L590" s="13"/>
      <c r="N590" s="13"/>
    </row>
    <row r="591" ht="15.75" customHeight="1">
      <c r="A591" s="13"/>
      <c r="B591" s="13"/>
      <c r="C591" s="13"/>
      <c r="D591" s="13"/>
      <c r="E591" s="13"/>
      <c r="F591" s="13"/>
      <c r="L591" s="13"/>
      <c r="N591" s="13"/>
    </row>
    <row r="592" ht="15.75" customHeight="1">
      <c r="A592" s="13"/>
      <c r="B592" s="13"/>
      <c r="C592" s="13"/>
      <c r="D592" s="13"/>
      <c r="E592" s="13"/>
      <c r="F592" s="13"/>
      <c r="L592" s="13"/>
      <c r="N592" s="13"/>
    </row>
    <row r="593" ht="15.75" customHeight="1">
      <c r="A593" s="13"/>
      <c r="B593" s="13"/>
      <c r="C593" s="13"/>
      <c r="D593" s="13"/>
      <c r="E593" s="13"/>
      <c r="F593" s="13"/>
      <c r="L593" s="13"/>
      <c r="N593" s="13"/>
    </row>
    <row r="594" ht="15.75" customHeight="1">
      <c r="A594" s="13"/>
      <c r="B594" s="13"/>
      <c r="C594" s="13"/>
      <c r="D594" s="13"/>
      <c r="E594" s="13"/>
      <c r="F594" s="13"/>
      <c r="L594" s="13"/>
      <c r="N594" s="13"/>
    </row>
    <row r="595" ht="15.75" customHeight="1">
      <c r="A595" s="13"/>
      <c r="B595" s="13"/>
      <c r="C595" s="13"/>
      <c r="D595" s="13"/>
      <c r="E595" s="13"/>
      <c r="F595" s="13"/>
      <c r="L595" s="13"/>
      <c r="N595" s="13"/>
    </row>
    <row r="596" ht="15.75" customHeight="1">
      <c r="A596" s="13"/>
      <c r="B596" s="13"/>
      <c r="C596" s="13"/>
      <c r="D596" s="13"/>
      <c r="E596" s="13"/>
      <c r="F596" s="13"/>
      <c r="L596" s="13"/>
      <c r="N596" s="13"/>
    </row>
    <row r="597" ht="15.75" customHeight="1">
      <c r="A597" s="13"/>
      <c r="B597" s="13"/>
      <c r="C597" s="13"/>
      <c r="D597" s="13"/>
      <c r="E597" s="13"/>
      <c r="F597" s="13"/>
      <c r="L597" s="13"/>
      <c r="N597" s="13"/>
    </row>
    <row r="598" ht="15.75" customHeight="1">
      <c r="A598" s="13"/>
      <c r="B598" s="13"/>
      <c r="C598" s="13"/>
      <c r="D598" s="13"/>
      <c r="E598" s="13"/>
      <c r="F598" s="13"/>
      <c r="L598" s="13"/>
      <c r="N598" s="13"/>
    </row>
    <row r="599" ht="15.75" customHeight="1">
      <c r="A599" s="13"/>
      <c r="B599" s="13"/>
      <c r="C599" s="13"/>
      <c r="D599" s="13"/>
      <c r="E599" s="13"/>
      <c r="F599" s="13"/>
      <c r="L599" s="13"/>
      <c r="N599" s="13"/>
    </row>
    <row r="600" ht="15.75" customHeight="1">
      <c r="A600" s="13"/>
      <c r="B600" s="13"/>
      <c r="C600" s="13"/>
      <c r="D600" s="13"/>
      <c r="E600" s="13"/>
      <c r="F600" s="13"/>
      <c r="L600" s="13"/>
      <c r="N600" s="13"/>
    </row>
    <row r="601" ht="15.75" customHeight="1">
      <c r="A601" s="13"/>
      <c r="B601" s="13"/>
      <c r="C601" s="13"/>
      <c r="D601" s="13"/>
      <c r="E601" s="13"/>
      <c r="F601" s="13"/>
      <c r="L601" s="13"/>
      <c r="N601" s="13"/>
    </row>
    <row r="602" ht="15.75" customHeight="1">
      <c r="A602" s="13"/>
      <c r="B602" s="13"/>
      <c r="C602" s="13"/>
      <c r="D602" s="13"/>
      <c r="E602" s="13"/>
      <c r="F602" s="13"/>
      <c r="L602" s="13"/>
      <c r="N602" s="13"/>
    </row>
    <row r="603" ht="15.75" customHeight="1">
      <c r="A603" s="13"/>
      <c r="B603" s="13"/>
      <c r="C603" s="13"/>
      <c r="D603" s="13"/>
      <c r="E603" s="13"/>
      <c r="F603" s="13"/>
      <c r="L603" s="13"/>
      <c r="N603" s="13"/>
    </row>
    <row r="604" ht="15.75" customHeight="1">
      <c r="A604" s="13"/>
      <c r="B604" s="13"/>
      <c r="C604" s="13"/>
      <c r="D604" s="13"/>
      <c r="E604" s="13"/>
      <c r="F604" s="13"/>
      <c r="L604" s="13"/>
      <c r="N604" s="13"/>
    </row>
    <row r="605" ht="15.75" customHeight="1">
      <c r="A605" s="13"/>
      <c r="B605" s="13"/>
      <c r="C605" s="13"/>
      <c r="D605" s="13"/>
      <c r="E605" s="13"/>
      <c r="F605" s="13"/>
      <c r="L605" s="13"/>
      <c r="N605" s="13"/>
    </row>
    <row r="606" ht="15.75" customHeight="1">
      <c r="A606" s="13"/>
      <c r="B606" s="13"/>
      <c r="C606" s="13"/>
      <c r="D606" s="13"/>
      <c r="E606" s="13"/>
      <c r="F606" s="13"/>
      <c r="L606" s="13"/>
      <c r="N606" s="13"/>
    </row>
    <row r="607" ht="15.75" customHeight="1">
      <c r="A607" s="13"/>
      <c r="B607" s="13"/>
      <c r="C607" s="13"/>
      <c r="D607" s="13"/>
      <c r="E607" s="13"/>
      <c r="F607" s="13"/>
      <c r="L607" s="13"/>
      <c r="N607" s="13"/>
    </row>
    <row r="608" ht="15.75" customHeight="1">
      <c r="A608" s="13"/>
      <c r="B608" s="13"/>
      <c r="C608" s="13"/>
      <c r="D608" s="13"/>
      <c r="E608" s="13"/>
      <c r="F608" s="13"/>
      <c r="L608" s="13"/>
      <c r="N608" s="13"/>
    </row>
    <row r="609" ht="15.75" customHeight="1">
      <c r="A609" s="13"/>
      <c r="B609" s="13"/>
      <c r="C609" s="13"/>
      <c r="D609" s="13"/>
      <c r="E609" s="13"/>
      <c r="F609" s="13"/>
      <c r="L609" s="13"/>
      <c r="N609" s="13"/>
    </row>
    <row r="610" ht="15.75" customHeight="1">
      <c r="A610" s="13"/>
      <c r="B610" s="13"/>
      <c r="C610" s="13"/>
      <c r="D610" s="13"/>
      <c r="E610" s="13"/>
      <c r="F610" s="13"/>
      <c r="L610" s="13"/>
      <c r="N610" s="13"/>
    </row>
    <row r="611" ht="15.75" customHeight="1">
      <c r="A611" s="13"/>
      <c r="B611" s="13"/>
      <c r="C611" s="13"/>
      <c r="D611" s="13"/>
      <c r="E611" s="13"/>
      <c r="F611" s="13"/>
      <c r="L611" s="13"/>
      <c r="N611" s="13"/>
    </row>
    <row r="612" ht="15.75" customHeight="1">
      <c r="A612" s="13"/>
      <c r="B612" s="13"/>
      <c r="C612" s="13"/>
      <c r="D612" s="13"/>
      <c r="E612" s="13"/>
      <c r="F612" s="13"/>
      <c r="L612" s="13"/>
      <c r="N612" s="13"/>
    </row>
    <row r="613" ht="15.75" customHeight="1">
      <c r="A613" s="13"/>
      <c r="B613" s="13"/>
      <c r="C613" s="13"/>
      <c r="D613" s="13"/>
      <c r="E613" s="13"/>
      <c r="F613" s="13"/>
      <c r="L613" s="13"/>
      <c r="N613" s="13"/>
    </row>
    <row r="614" ht="15.75" customHeight="1">
      <c r="A614" s="13"/>
      <c r="B614" s="13"/>
      <c r="C614" s="13"/>
      <c r="D614" s="13"/>
      <c r="E614" s="13"/>
      <c r="F614" s="13"/>
      <c r="L614" s="13"/>
      <c r="N614" s="13"/>
    </row>
    <row r="615" ht="15.75" customHeight="1">
      <c r="A615" s="13"/>
      <c r="B615" s="13"/>
      <c r="C615" s="13"/>
      <c r="D615" s="13"/>
      <c r="E615" s="13"/>
      <c r="F615" s="13"/>
      <c r="L615" s="13"/>
      <c r="N615" s="13"/>
    </row>
    <row r="616" ht="15.75" customHeight="1">
      <c r="A616" s="13"/>
      <c r="B616" s="13"/>
      <c r="C616" s="13"/>
      <c r="D616" s="13"/>
      <c r="E616" s="13"/>
      <c r="F616" s="13"/>
      <c r="L616" s="13"/>
      <c r="N616" s="13"/>
    </row>
    <row r="617" ht="15.75" customHeight="1">
      <c r="A617" s="13"/>
      <c r="B617" s="13"/>
      <c r="C617" s="13"/>
      <c r="D617" s="13"/>
      <c r="E617" s="13"/>
      <c r="F617" s="13"/>
      <c r="L617" s="13"/>
      <c r="N617" s="13"/>
    </row>
    <row r="618" ht="15.75" customHeight="1">
      <c r="A618" s="13"/>
      <c r="B618" s="13"/>
      <c r="C618" s="13"/>
      <c r="D618" s="13"/>
      <c r="E618" s="13"/>
      <c r="F618" s="13"/>
      <c r="L618" s="13"/>
      <c r="N618" s="13"/>
    </row>
    <row r="619" ht="15.75" customHeight="1">
      <c r="A619" s="13"/>
      <c r="B619" s="13"/>
      <c r="C619" s="13"/>
      <c r="D619" s="13"/>
      <c r="E619" s="13"/>
      <c r="F619" s="13"/>
      <c r="L619" s="13"/>
      <c r="N619" s="13"/>
    </row>
    <row r="620" ht="15.75" customHeight="1">
      <c r="A620" s="13"/>
      <c r="B620" s="13"/>
      <c r="C620" s="13"/>
      <c r="D620" s="13"/>
      <c r="E620" s="13"/>
      <c r="F620" s="13"/>
      <c r="L620" s="13"/>
      <c r="N620" s="13"/>
    </row>
    <row r="621" ht="15.75" customHeight="1">
      <c r="A621" s="13"/>
      <c r="B621" s="13"/>
      <c r="C621" s="13"/>
      <c r="D621" s="13"/>
      <c r="E621" s="13"/>
      <c r="F621" s="13"/>
      <c r="L621" s="13"/>
      <c r="N621" s="13"/>
    </row>
    <row r="622" ht="15.75" customHeight="1">
      <c r="A622" s="13"/>
      <c r="B622" s="13"/>
      <c r="C622" s="13"/>
      <c r="D622" s="13"/>
      <c r="E622" s="13"/>
      <c r="F622" s="13"/>
      <c r="L622" s="13"/>
      <c r="N622" s="13"/>
    </row>
    <row r="623" ht="15.75" customHeight="1">
      <c r="A623" s="13"/>
      <c r="B623" s="13"/>
      <c r="C623" s="13"/>
      <c r="D623" s="13"/>
      <c r="E623" s="13"/>
      <c r="F623" s="13"/>
      <c r="L623" s="13"/>
      <c r="N623" s="13"/>
    </row>
    <row r="624" ht="15.75" customHeight="1">
      <c r="A624" s="13"/>
      <c r="B624" s="13"/>
      <c r="C624" s="13"/>
      <c r="D624" s="13"/>
      <c r="E624" s="13"/>
      <c r="F624" s="13"/>
      <c r="L624" s="13"/>
      <c r="N624" s="13"/>
    </row>
    <row r="625" ht="15.75" customHeight="1">
      <c r="A625" s="13"/>
      <c r="B625" s="13"/>
      <c r="C625" s="13"/>
      <c r="D625" s="13"/>
      <c r="E625" s="13"/>
      <c r="F625" s="13"/>
      <c r="L625" s="13"/>
      <c r="N625" s="13"/>
    </row>
    <row r="626" ht="15.75" customHeight="1">
      <c r="A626" s="13"/>
      <c r="B626" s="13"/>
      <c r="C626" s="13"/>
      <c r="D626" s="13"/>
      <c r="E626" s="13"/>
      <c r="F626" s="13"/>
      <c r="L626" s="13"/>
      <c r="N626" s="13"/>
    </row>
    <row r="627" ht="15.75" customHeight="1">
      <c r="A627" s="13"/>
      <c r="B627" s="13"/>
      <c r="C627" s="13"/>
      <c r="D627" s="13"/>
      <c r="E627" s="13"/>
      <c r="F627" s="13"/>
      <c r="L627" s="13"/>
      <c r="N627" s="13"/>
    </row>
    <row r="628" ht="15.75" customHeight="1">
      <c r="A628" s="13"/>
      <c r="B628" s="13"/>
      <c r="C628" s="13"/>
      <c r="D628" s="13"/>
      <c r="E628" s="13"/>
      <c r="F628" s="13"/>
      <c r="L628" s="13"/>
      <c r="N628" s="13"/>
    </row>
    <row r="629" ht="15.75" customHeight="1">
      <c r="A629" s="13"/>
      <c r="B629" s="13"/>
      <c r="C629" s="13"/>
      <c r="D629" s="13"/>
      <c r="E629" s="13"/>
      <c r="F629" s="13"/>
      <c r="L629" s="13"/>
      <c r="N629" s="13"/>
    </row>
    <row r="630" ht="15.75" customHeight="1">
      <c r="A630" s="13"/>
      <c r="B630" s="13"/>
      <c r="C630" s="13"/>
      <c r="D630" s="13"/>
      <c r="E630" s="13"/>
      <c r="F630" s="13"/>
      <c r="L630" s="13"/>
      <c r="N630" s="13"/>
    </row>
    <row r="631" ht="15.75" customHeight="1">
      <c r="A631" s="13"/>
      <c r="B631" s="13"/>
      <c r="C631" s="13"/>
      <c r="D631" s="13"/>
      <c r="E631" s="13"/>
      <c r="F631" s="13"/>
      <c r="L631" s="13"/>
      <c r="N631" s="13"/>
    </row>
    <row r="632" ht="15.75" customHeight="1">
      <c r="A632" s="13"/>
      <c r="B632" s="13"/>
      <c r="C632" s="13"/>
      <c r="D632" s="13"/>
      <c r="E632" s="13"/>
      <c r="F632" s="13"/>
      <c r="L632" s="13"/>
      <c r="N632" s="13"/>
    </row>
    <row r="633" ht="15.75" customHeight="1">
      <c r="A633" s="13"/>
      <c r="B633" s="13"/>
      <c r="C633" s="13"/>
      <c r="D633" s="13"/>
      <c r="E633" s="13"/>
      <c r="F633" s="13"/>
      <c r="L633" s="13"/>
      <c r="N633" s="13"/>
    </row>
    <row r="634" ht="15.75" customHeight="1">
      <c r="A634" s="13"/>
      <c r="B634" s="13"/>
      <c r="C634" s="13"/>
      <c r="D634" s="13"/>
      <c r="E634" s="13"/>
      <c r="F634" s="13"/>
      <c r="L634" s="13"/>
      <c r="N634" s="13"/>
    </row>
    <row r="635" ht="15.75" customHeight="1">
      <c r="A635" s="13"/>
      <c r="B635" s="13"/>
      <c r="C635" s="13"/>
      <c r="D635" s="13"/>
      <c r="E635" s="13"/>
      <c r="F635" s="13"/>
      <c r="L635" s="13"/>
      <c r="N635" s="13"/>
    </row>
    <row r="636" ht="15.75" customHeight="1">
      <c r="A636" s="13"/>
      <c r="B636" s="13"/>
      <c r="C636" s="13"/>
      <c r="D636" s="13"/>
      <c r="E636" s="13"/>
      <c r="F636" s="13"/>
      <c r="L636" s="13"/>
      <c r="N636" s="13"/>
    </row>
    <row r="637" ht="15.75" customHeight="1">
      <c r="A637" s="13"/>
      <c r="B637" s="13"/>
      <c r="C637" s="13"/>
      <c r="D637" s="13"/>
      <c r="E637" s="13"/>
      <c r="F637" s="13"/>
      <c r="L637" s="13"/>
      <c r="N637" s="13"/>
    </row>
    <row r="638" ht="15.75" customHeight="1">
      <c r="A638" s="13"/>
      <c r="B638" s="13"/>
      <c r="C638" s="13"/>
      <c r="D638" s="13"/>
      <c r="E638" s="13"/>
      <c r="F638" s="13"/>
      <c r="L638" s="13"/>
      <c r="N638" s="13"/>
    </row>
    <row r="639" ht="15.75" customHeight="1">
      <c r="A639" s="13"/>
      <c r="B639" s="13"/>
      <c r="C639" s="13"/>
      <c r="D639" s="13"/>
      <c r="E639" s="13"/>
      <c r="F639" s="13"/>
      <c r="L639" s="13"/>
      <c r="N639" s="13"/>
    </row>
    <row r="640" ht="15.75" customHeight="1">
      <c r="A640" s="13"/>
      <c r="B640" s="13"/>
      <c r="C640" s="13"/>
      <c r="D640" s="13"/>
      <c r="E640" s="13"/>
      <c r="F640" s="13"/>
      <c r="L640" s="13"/>
      <c r="N640" s="13"/>
    </row>
    <row r="641" ht="15.75" customHeight="1">
      <c r="A641" s="13"/>
      <c r="B641" s="13"/>
      <c r="C641" s="13"/>
      <c r="D641" s="13"/>
      <c r="E641" s="13"/>
      <c r="F641" s="13"/>
      <c r="L641" s="13"/>
      <c r="N641" s="13"/>
    </row>
    <row r="642" ht="15.75" customHeight="1">
      <c r="A642" s="13"/>
      <c r="B642" s="13"/>
      <c r="C642" s="13"/>
      <c r="D642" s="13"/>
      <c r="E642" s="13"/>
      <c r="F642" s="13"/>
      <c r="L642" s="13"/>
      <c r="N642" s="13"/>
    </row>
    <row r="643" ht="15.75" customHeight="1">
      <c r="A643" s="13"/>
      <c r="B643" s="13"/>
      <c r="C643" s="13"/>
      <c r="D643" s="13"/>
      <c r="E643" s="13"/>
      <c r="F643" s="13"/>
      <c r="L643" s="13"/>
      <c r="N643" s="13"/>
    </row>
    <row r="644" ht="15.75" customHeight="1">
      <c r="A644" s="13"/>
      <c r="B644" s="13"/>
      <c r="C644" s="13"/>
      <c r="D644" s="13"/>
      <c r="E644" s="13"/>
      <c r="F644" s="13"/>
      <c r="L644" s="13"/>
      <c r="N644" s="13"/>
    </row>
    <row r="645" ht="15.75" customHeight="1">
      <c r="A645" s="13"/>
      <c r="B645" s="13"/>
      <c r="C645" s="13"/>
      <c r="D645" s="13"/>
      <c r="E645" s="13"/>
      <c r="F645" s="13"/>
      <c r="L645" s="13"/>
      <c r="N645" s="13"/>
    </row>
    <row r="646" ht="15.75" customHeight="1">
      <c r="A646" s="13"/>
      <c r="B646" s="13"/>
      <c r="C646" s="13"/>
      <c r="D646" s="13"/>
      <c r="E646" s="13"/>
      <c r="F646" s="13"/>
      <c r="L646" s="13"/>
      <c r="N646" s="13"/>
    </row>
    <row r="647" ht="15.75" customHeight="1">
      <c r="A647" s="13"/>
      <c r="B647" s="13"/>
      <c r="C647" s="13"/>
      <c r="D647" s="13"/>
      <c r="E647" s="13"/>
      <c r="F647" s="13"/>
      <c r="L647" s="13"/>
      <c r="N647" s="13"/>
    </row>
    <row r="648" ht="15.75" customHeight="1">
      <c r="A648" s="13"/>
      <c r="B648" s="13"/>
      <c r="C648" s="13"/>
      <c r="D648" s="13"/>
      <c r="E648" s="13"/>
      <c r="F648" s="13"/>
      <c r="L648" s="13"/>
      <c r="N648" s="13"/>
    </row>
    <row r="649" ht="15.75" customHeight="1">
      <c r="A649" s="13"/>
      <c r="B649" s="13"/>
      <c r="C649" s="13"/>
      <c r="D649" s="13"/>
      <c r="E649" s="13"/>
      <c r="F649" s="13"/>
      <c r="L649" s="13"/>
      <c r="N649" s="13"/>
    </row>
    <row r="650" ht="15.75" customHeight="1">
      <c r="A650" s="13"/>
      <c r="B650" s="13"/>
      <c r="C650" s="13"/>
      <c r="D650" s="13"/>
      <c r="E650" s="13"/>
      <c r="F650" s="13"/>
      <c r="L650" s="13"/>
      <c r="N650" s="13"/>
    </row>
    <row r="651" ht="15.75" customHeight="1">
      <c r="A651" s="13"/>
      <c r="B651" s="13"/>
      <c r="C651" s="13"/>
      <c r="D651" s="13"/>
      <c r="E651" s="13"/>
      <c r="F651" s="13"/>
      <c r="L651" s="13"/>
      <c r="N651" s="13"/>
    </row>
    <row r="652" ht="15.75" customHeight="1">
      <c r="A652" s="13"/>
      <c r="B652" s="13"/>
      <c r="C652" s="13"/>
      <c r="D652" s="13"/>
      <c r="E652" s="13"/>
      <c r="F652" s="13"/>
      <c r="L652" s="13"/>
      <c r="N652" s="13"/>
    </row>
    <row r="653" ht="15.75" customHeight="1">
      <c r="A653" s="13"/>
      <c r="B653" s="13"/>
      <c r="C653" s="13"/>
      <c r="D653" s="13"/>
      <c r="E653" s="13"/>
      <c r="F653" s="13"/>
      <c r="L653" s="13"/>
      <c r="N653" s="13"/>
    </row>
    <row r="654" ht="15.75" customHeight="1">
      <c r="A654" s="13"/>
      <c r="B654" s="13"/>
      <c r="C654" s="13"/>
      <c r="D654" s="13"/>
      <c r="E654" s="13"/>
      <c r="F654" s="13"/>
      <c r="L654" s="13"/>
      <c r="N654" s="13"/>
    </row>
    <row r="655" ht="15.75" customHeight="1">
      <c r="A655" s="13"/>
      <c r="B655" s="13"/>
      <c r="C655" s="13"/>
      <c r="D655" s="13"/>
      <c r="E655" s="13"/>
      <c r="F655" s="13"/>
      <c r="L655" s="13"/>
      <c r="N655" s="13"/>
    </row>
    <row r="656" ht="15.75" customHeight="1">
      <c r="A656" s="13"/>
      <c r="B656" s="13"/>
      <c r="C656" s="13"/>
      <c r="D656" s="13"/>
      <c r="E656" s="13"/>
      <c r="F656" s="13"/>
      <c r="L656" s="13"/>
      <c r="N656" s="13"/>
    </row>
    <row r="657" ht="15.75" customHeight="1">
      <c r="A657" s="13"/>
      <c r="B657" s="13"/>
      <c r="C657" s="13"/>
      <c r="D657" s="13"/>
      <c r="E657" s="13"/>
      <c r="F657" s="13"/>
      <c r="L657" s="13"/>
      <c r="N657" s="13"/>
    </row>
    <row r="658" ht="15.75" customHeight="1">
      <c r="A658" s="13"/>
      <c r="B658" s="13"/>
      <c r="C658" s="13"/>
      <c r="D658" s="13"/>
      <c r="E658" s="13"/>
      <c r="F658" s="13"/>
      <c r="L658" s="13"/>
      <c r="N658" s="13"/>
    </row>
    <row r="659" ht="15.75" customHeight="1">
      <c r="A659" s="13"/>
      <c r="B659" s="13"/>
      <c r="C659" s="13"/>
      <c r="D659" s="13"/>
      <c r="E659" s="13"/>
      <c r="F659" s="13"/>
      <c r="L659" s="13"/>
      <c r="N659" s="13"/>
    </row>
    <row r="660" ht="15.75" customHeight="1">
      <c r="A660" s="13"/>
      <c r="B660" s="13"/>
      <c r="C660" s="13"/>
      <c r="D660" s="13"/>
      <c r="E660" s="13"/>
      <c r="F660" s="13"/>
      <c r="L660" s="13"/>
      <c r="N660" s="13"/>
    </row>
    <row r="661" ht="15.75" customHeight="1">
      <c r="A661" s="13"/>
      <c r="B661" s="13"/>
      <c r="C661" s="13"/>
      <c r="D661" s="13"/>
      <c r="E661" s="13"/>
      <c r="F661" s="13"/>
      <c r="L661" s="13"/>
      <c r="N661" s="13"/>
    </row>
    <row r="662" ht="15.75" customHeight="1">
      <c r="A662" s="13"/>
      <c r="B662" s="13"/>
      <c r="C662" s="13"/>
      <c r="D662" s="13"/>
      <c r="E662" s="13"/>
      <c r="F662" s="13"/>
      <c r="L662" s="13"/>
      <c r="N662" s="13"/>
    </row>
    <row r="663" ht="15.75" customHeight="1">
      <c r="A663" s="13"/>
      <c r="B663" s="13"/>
      <c r="C663" s="13"/>
      <c r="D663" s="13"/>
      <c r="E663" s="13"/>
      <c r="F663" s="13"/>
      <c r="L663" s="13"/>
      <c r="N663" s="13"/>
    </row>
    <row r="664" ht="15.75" customHeight="1">
      <c r="A664" s="13"/>
      <c r="B664" s="13"/>
      <c r="C664" s="13"/>
      <c r="D664" s="13"/>
      <c r="E664" s="13"/>
      <c r="F664" s="13"/>
      <c r="L664" s="13"/>
      <c r="N664" s="13"/>
    </row>
    <row r="665" ht="15.75" customHeight="1">
      <c r="A665" s="13"/>
      <c r="B665" s="13"/>
      <c r="C665" s="13"/>
      <c r="D665" s="13"/>
      <c r="E665" s="13"/>
      <c r="F665" s="13"/>
      <c r="L665" s="13"/>
      <c r="N665" s="13"/>
    </row>
    <row r="666" ht="15.75" customHeight="1">
      <c r="A666" s="13"/>
      <c r="B666" s="13"/>
      <c r="C666" s="13"/>
      <c r="D666" s="13"/>
      <c r="E666" s="13"/>
      <c r="F666" s="13"/>
      <c r="L666" s="13"/>
      <c r="N666" s="13"/>
    </row>
    <row r="667" ht="15.75" customHeight="1">
      <c r="A667" s="13"/>
      <c r="B667" s="13"/>
      <c r="C667" s="13"/>
      <c r="D667" s="13"/>
      <c r="E667" s="13"/>
      <c r="F667" s="13"/>
      <c r="L667" s="13"/>
      <c r="N667" s="13"/>
    </row>
    <row r="668" ht="15.75" customHeight="1">
      <c r="A668" s="13"/>
      <c r="B668" s="13"/>
      <c r="C668" s="13"/>
      <c r="D668" s="13"/>
      <c r="E668" s="13"/>
      <c r="F668" s="13"/>
      <c r="L668" s="13"/>
      <c r="N668" s="13"/>
    </row>
    <row r="669" ht="15.75" customHeight="1">
      <c r="A669" s="13"/>
      <c r="B669" s="13"/>
      <c r="C669" s="13"/>
      <c r="D669" s="13"/>
      <c r="E669" s="13"/>
      <c r="F669" s="13"/>
      <c r="L669" s="13"/>
      <c r="N669" s="13"/>
    </row>
    <row r="670" ht="15.75" customHeight="1">
      <c r="A670" s="13"/>
      <c r="B670" s="13"/>
      <c r="C670" s="13"/>
      <c r="D670" s="13"/>
      <c r="E670" s="13"/>
      <c r="F670" s="13"/>
      <c r="L670" s="13"/>
      <c r="N670" s="13"/>
    </row>
    <row r="671" ht="15.75" customHeight="1">
      <c r="A671" s="13"/>
      <c r="B671" s="13"/>
      <c r="C671" s="13"/>
      <c r="D671" s="13"/>
      <c r="E671" s="13"/>
      <c r="F671" s="13"/>
      <c r="L671" s="13"/>
      <c r="N671" s="13"/>
    </row>
    <row r="672" ht="15.75" customHeight="1">
      <c r="A672" s="13"/>
      <c r="B672" s="13"/>
      <c r="C672" s="13"/>
      <c r="D672" s="13"/>
      <c r="E672" s="13"/>
      <c r="F672" s="13"/>
      <c r="L672" s="13"/>
      <c r="N672" s="13"/>
    </row>
    <row r="673" ht="15.75" customHeight="1">
      <c r="A673" s="13"/>
      <c r="B673" s="13"/>
      <c r="C673" s="13"/>
      <c r="D673" s="13"/>
      <c r="E673" s="13"/>
      <c r="F673" s="13"/>
      <c r="L673" s="13"/>
      <c r="N673" s="13"/>
    </row>
    <row r="674" ht="15.75" customHeight="1">
      <c r="A674" s="13"/>
      <c r="B674" s="13"/>
      <c r="C674" s="13"/>
      <c r="D674" s="13"/>
      <c r="E674" s="13"/>
      <c r="F674" s="13"/>
      <c r="L674" s="13"/>
      <c r="N674" s="13"/>
    </row>
    <row r="675" ht="15.75" customHeight="1">
      <c r="A675" s="13"/>
      <c r="B675" s="13"/>
      <c r="C675" s="13"/>
      <c r="D675" s="13"/>
      <c r="E675" s="13"/>
      <c r="F675" s="13"/>
      <c r="L675" s="13"/>
      <c r="N675" s="13"/>
    </row>
    <row r="676" ht="15.75" customHeight="1">
      <c r="A676" s="13"/>
      <c r="B676" s="13"/>
      <c r="C676" s="13"/>
      <c r="D676" s="13"/>
      <c r="E676" s="13"/>
      <c r="F676" s="13"/>
      <c r="L676" s="13"/>
      <c r="N676" s="13"/>
    </row>
    <row r="677" ht="15.75" customHeight="1">
      <c r="A677" s="13"/>
      <c r="B677" s="13"/>
      <c r="C677" s="13"/>
      <c r="D677" s="13"/>
      <c r="E677" s="13"/>
      <c r="F677" s="13"/>
      <c r="L677" s="13"/>
      <c r="N677" s="13"/>
    </row>
    <row r="678" ht="15.75" customHeight="1">
      <c r="A678" s="13"/>
      <c r="B678" s="13"/>
      <c r="C678" s="13"/>
      <c r="D678" s="13"/>
      <c r="E678" s="13"/>
      <c r="F678" s="13"/>
      <c r="L678" s="13"/>
      <c r="N678" s="13"/>
    </row>
    <row r="679" ht="15.75" customHeight="1">
      <c r="A679" s="13"/>
      <c r="B679" s="13"/>
      <c r="C679" s="13"/>
      <c r="D679" s="13"/>
      <c r="E679" s="13"/>
      <c r="F679" s="13"/>
      <c r="L679" s="13"/>
      <c r="N679" s="13"/>
    </row>
    <row r="680" ht="15.75" customHeight="1">
      <c r="A680" s="13"/>
      <c r="B680" s="13"/>
      <c r="C680" s="13"/>
      <c r="D680" s="13"/>
      <c r="E680" s="13"/>
      <c r="F680" s="13"/>
      <c r="L680" s="13"/>
      <c r="N680" s="13"/>
    </row>
    <row r="681" ht="15.75" customHeight="1">
      <c r="A681" s="13"/>
      <c r="B681" s="13"/>
      <c r="C681" s="13"/>
      <c r="D681" s="13"/>
      <c r="E681" s="13"/>
      <c r="F681" s="13"/>
      <c r="L681" s="13"/>
      <c r="N681" s="13"/>
    </row>
    <row r="682" ht="15.75" customHeight="1">
      <c r="A682" s="13"/>
      <c r="B682" s="13"/>
      <c r="C682" s="13"/>
      <c r="D682" s="13"/>
      <c r="E682" s="13"/>
      <c r="F682" s="13"/>
      <c r="L682" s="13"/>
      <c r="N682" s="13"/>
    </row>
    <row r="683" ht="15.75" customHeight="1">
      <c r="A683" s="13"/>
      <c r="B683" s="13"/>
      <c r="C683" s="13"/>
      <c r="D683" s="13"/>
      <c r="E683" s="13"/>
      <c r="F683" s="13"/>
      <c r="L683" s="13"/>
      <c r="N683" s="13"/>
    </row>
    <row r="684" ht="15.75" customHeight="1">
      <c r="A684" s="13"/>
      <c r="B684" s="13"/>
      <c r="C684" s="13"/>
      <c r="D684" s="13"/>
      <c r="E684" s="13"/>
      <c r="F684" s="13"/>
      <c r="L684" s="13"/>
      <c r="N684" s="13"/>
    </row>
    <row r="685" ht="15.75" customHeight="1">
      <c r="A685" s="13"/>
      <c r="B685" s="13"/>
      <c r="C685" s="13"/>
      <c r="D685" s="13"/>
      <c r="E685" s="13"/>
      <c r="F685" s="13"/>
      <c r="L685" s="13"/>
      <c r="N685" s="13"/>
    </row>
    <row r="686" ht="15.75" customHeight="1">
      <c r="A686" s="13"/>
      <c r="B686" s="13"/>
      <c r="C686" s="13"/>
      <c r="D686" s="13"/>
      <c r="E686" s="13"/>
      <c r="F686" s="13"/>
      <c r="L686" s="13"/>
      <c r="N686" s="13"/>
    </row>
    <row r="687" ht="15.75" customHeight="1">
      <c r="A687" s="13"/>
      <c r="B687" s="13"/>
      <c r="C687" s="13"/>
      <c r="D687" s="13"/>
      <c r="E687" s="13"/>
      <c r="F687" s="13"/>
      <c r="L687" s="13"/>
      <c r="N687" s="13"/>
    </row>
    <row r="688" ht="15.75" customHeight="1">
      <c r="A688" s="13"/>
      <c r="B688" s="13"/>
      <c r="C688" s="13"/>
      <c r="D688" s="13"/>
      <c r="E688" s="13"/>
      <c r="F688" s="13"/>
      <c r="L688" s="13"/>
      <c r="N688" s="13"/>
    </row>
    <row r="689" ht="15.75" customHeight="1">
      <c r="A689" s="13"/>
      <c r="B689" s="13"/>
      <c r="C689" s="13"/>
      <c r="D689" s="13"/>
      <c r="E689" s="13"/>
      <c r="F689" s="13"/>
      <c r="L689" s="13"/>
      <c r="N689" s="13"/>
    </row>
    <row r="690" ht="15.75" customHeight="1">
      <c r="A690" s="13"/>
      <c r="B690" s="13"/>
      <c r="C690" s="13"/>
      <c r="D690" s="13"/>
      <c r="E690" s="13"/>
      <c r="F690" s="13"/>
      <c r="L690" s="13"/>
      <c r="N690" s="13"/>
    </row>
    <row r="691" ht="15.75" customHeight="1">
      <c r="A691" s="13"/>
      <c r="B691" s="13"/>
      <c r="C691" s="13"/>
      <c r="D691" s="13"/>
      <c r="E691" s="13"/>
      <c r="F691" s="13"/>
      <c r="L691" s="13"/>
      <c r="N691" s="13"/>
    </row>
    <row r="692" ht="15.75" customHeight="1">
      <c r="A692" s="13"/>
      <c r="B692" s="13"/>
      <c r="C692" s="13"/>
      <c r="D692" s="13"/>
      <c r="E692" s="13"/>
      <c r="F692" s="13"/>
      <c r="L692" s="13"/>
      <c r="N692" s="13"/>
    </row>
    <row r="693" ht="15.75" customHeight="1">
      <c r="A693" s="13"/>
      <c r="B693" s="13"/>
      <c r="C693" s="13"/>
      <c r="D693" s="13"/>
      <c r="E693" s="13"/>
      <c r="F693" s="13"/>
      <c r="L693" s="13"/>
      <c r="N693" s="13"/>
    </row>
    <row r="694" ht="15.75" customHeight="1">
      <c r="A694" s="13"/>
      <c r="B694" s="13"/>
      <c r="C694" s="13"/>
      <c r="D694" s="13"/>
      <c r="E694" s="13"/>
      <c r="F694" s="13"/>
      <c r="L694" s="13"/>
      <c r="N694" s="13"/>
    </row>
    <row r="695" ht="15.75" customHeight="1">
      <c r="A695" s="13"/>
      <c r="B695" s="13"/>
      <c r="C695" s="13"/>
      <c r="D695" s="13"/>
      <c r="E695" s="13"/>
      <c r="F695" s="13"/>
      <c r="L695" s="13"/>
      <c r="N695" s="13"/>
    </row>
    <row r="696" ht="15.75" customHeight="1">
      <c r="A696" s="13"/>
      <c r="B696" s="13"/>
      <c r="C696" s="13"/>
      <c r="D696" s="13"/>
      <c r="E696" s="13"/>
      <c r="F696" s="13"/>
      <c r="L696" s="13"/>
      <c r="N696" s="13"/>
    </row>
    <row r="697" ht="15.75" customHeight="1">
      <c r="A697" s="13"/>
      <c r="B697" s="13"/>
      <c r="C697" s="13"/>
      <c r="D697" s="13"/>
      <c r="E697" s="13"/>
      <c r="F697" s="13"/>
      <c r="L697" s="13"/>
      <c r="N697" s="13"/>
    </row>
    <row r="698" ht="15.75" customHeight="1">
      <c r="A698" s="13"/>
      <c r="B698" s="13"/>
      <c r="C698" s="13"/>
      <c r="D698" s="13"/>
      <c r="E698" s="13"/>
      <c r="F698" s="13"/>
      <c r="L698" s="13"/>
      <c r="N698" s="13"/>
    </row>
    <row r="699" ht="15.75" customHeight="1">
      <c r="A699" s="13"/>
      <c r="B699" s="13"/>
      <c r="C699" s="13"/>
      <c r="D699" s="13"/>
      <c r="E699" s="13"/>
      <c r="F699" s="13"/>
      <c r="L699" s="13"/>
      <c r="N699" s="13"/>
    </row>
    <row r="700" ht="15.75" customHeight="1">
      <c r="A700" s="13"/>
      <c r="B700" s="13"/>
      <c r="C700" s="13"/>
      <c r="D700" s="13"/>
      <c r="E700" s="13"/>
      <c r="F700" s="13"/>
      <c r="L700" s="13"/>
      <c r="N700" s="13"/>
    </row>
    <row r="701" ht="15.75" customHeight="1">
      <c r="A701" s="13"/>
      <c r="B701" s="13"/>
      <c r="C701" s="13"/>
      <c r="D701" s="13"/>
      <c r="E701" s="13"/>
      <c r="F701" s="13"/>
      <c r="L701" s="13"/>
      <c r="N701" s="13"/>
    </row>
    <row r="702" ht="15.75" customHeight="1">
      <c r="A702" s="13"/>
      <c r="B702" s="13"/>
      <c r="C702" s="13"/>
      <c r="D702" s="13"/>
      <c r="E702" s="13"/>
      <c r="F702" s="13"/>
      <c r="L702" s="13"/>
      <c r="N702" s="13"/>
    </row>
    <row r="703" ht="15.75" customHeight="1">
      <c r="A703" s="13"/>
      <c r="B703" s="13"/>
      <c r="C703" s="13"/>
      <c r="D703" s="13"/>
      <c r="E703" s="13"/>
      <c r="F703" s="13"/>
      <c r="L703" s="13"/>
      <c r="N703" s="13"/>
    </row>
    <row r="704" ht="15.75" customHeight="1">
      <c r="A704" s="13"/>
      <c r="B704" s="13"/>
      <c r="C704" s="13"/>
      <c r="D704" s="13"/>
      <c r="E704" s="13"/>
      <c r="F704" s="13"/>
      <c r="L704" s="13"/>
      <c r="N704" s="13"/>
    </row>
    <row r="705" ht="15.75" customHeight="1">
      <c r="A705" s="13"/>
      <c r="B705" s="13"/>
      <c r="C705" s="13"/>
      <c r="D705" s="13"/>
      <c r="E705" s="13"/>
      <c r="F705" s="13"/>
      <c r="L705" s="13"/>
      <c r="N705" s="13"/>
    </row>
    <row r="706" ht="15.75" customHeight="1">
      <c r="A706" s="13"/>
      <c r="B706" s="13"/>
      <c r="C706" s="13"/>
      <c r="D706" s="13"/>
      <c r="E706" s="13"/>
      <c r="F706" s="13"/>
      <c r="L706" s="13"/>
      <c r="N706" s="13"/>
    </row>
    <row r="707" ht="15.75" customHeight="1">
      <c r="A707" s="13"/>
      <c r="B707" s="13"/>
      <c r="C707" s="13"/>
      <c r="D707" s="13"/>
      <c r="E707" s="13"/>
      <c r="F707" s="13"/>
      <c r="L707" s="13"/>
      <c r="N707" s="13"/>
    </row>
    <row r="708" ht="15.75" customHeight="1">
      <c r="A708" s="13"/>
      <c r="B708" s="13"/>
      <c r="C708" s="13"/>
      <c r="D708" s="13"/>
      <c r="E708" s="13"/>
      <c r="F708" s="13"/>
      <c r="L708" s="13"/>
      <c r="N708" s="13"/>
    </row>
    <row r="709" ht="15.75" customHeight="1">
      <c r="A709" s="13"/>
      <c r="B709" s="13"/>
      <c r="C709" s="13"/>
      <c r="D709" s="13"/>
      <c r="E709" s="13"/>
      <c r="F709" s="13"/>
      <c r="L709" s="13"/>
      <c r="N709" s="13"/>
    </row>
    <row r="710" ht="15.75" customHeight="1">
      <c r="A710" s="13"/>
      <c r="B710" s="13"/>
      <c r="C710" s="13"/>
      <c r="D710" s="13"/>
      <c r="E710" s="13"/>
      <c r="F710" s="13"/>
      <c r="L710" s="13"/>
      <c r="N710" s="13"/>
    </row>
    <row r="711" ht="15.75" customHeight="1">
      <c r="A711" s="13"/>
      <c r="B711" s="13"/>
      <c r="C711" s="13"/>
      <c r="D711" s="13"/>
      <c r="E711" s="13"/>
      <c r="F711" s="13"/>
      <c r="L711" s="13"/>
      <c r="N711" s="13"/>
    </row>
    <row r="712" ht="15.75" customHeight="1">
      <c r="A712" s="13"/>
      <c r="B712" s="13"/>
      <c r="C712" s="13"/>
      <c r="D712" s="13"/>
      <c r="E712" s="13"/>
      <c r="F712" s="13"/>
      <c r="L712" s="13"/>
      <c r="N712" s="13"/>
    </row>
    <row r="713" ht="15.75" customHeight="1">
      <c r="A713" s="13"/>
      <c r="B713" s="13"/>
      <c r="C713" s="13"/>
      <c r="D713" s="13"/>
      <c r="E713" s="13"/>
      <c r="F713" s="13"/>
      <c r="L713" s="13"/>
      <c r="N713" s="13"/>
    </row>
    <row r="714" ht="15.75" customHeight="1">
      <c r="A714" s="13"/>
      <c r="B714" s="13"/>
      <c r="C714" s="13"/>
      <c r="D714" s="13"/>
      <c r="E714" s="13"/>
      <c r="F714" s="13"/>
      <c r="L714" s="13"/>
      <c r="N714" s="13"/>
    </row>
    <row r="715" ht="15.75" customHeight="1">
      <c r="A715" s="13"/>
      <c r="B715" s="13"/>
      <c r="C715" s="13"/>
      <c r="D715" s="13"/>
      <c r="E715" s="13"/>
      <c r="F715" s="13"/>
      <c r="L715" s="13"/>
      <c r="N715" s="13"/>
    </row>
    <row r="716" ht="15.75" customHeight="1">
      <c r="A716" s="13"/>
      <c r="B716" s="13"/>
      <c r="C716" s="13"/>
      <c r="D716" s="13"/>
      <c r="E716" s="13"/>
      <c r="F716" s="13"/>
      <c r="L716" s="13"/>
      <c r="N716" s="13"/>
    </row>
    <row r="717" ht="15.75" customHeight="1">
      <c r="A717" s="13"/>
      <c r="B717" s="13"/>
      <c r="C717" s="13"/>
      <c r="D717" s="13"/>
      <c r="E717" s="13"/>
      <c r="F717" s="13"/>
      <c r="L717" s="13"/>
      <c r="N717" s="13"/>
    </row>
    <row r="718" ht="15.75" customHeight="1">
      <c r="A718" s="13"/>
      <c r="B718" s="13"/>
      <c r="C718" s="13"/>
      <c r="D718" s="13"/>
      <c r="E718" s="13"/>
      <c r="F718" s="13"/>
      <c r="L718" s="13"/>
      <c r="N718" s="13"/>
    </row>
    <row r="719" ht="15.75" customHeight="1">
      <c r="A719" s="13"/>
      <c r="B719" s="13"/>
      <c r="C719" s="13"/>
      <c r="D719" s="13"/>
      <c r="E719" s="13"/>
      <c r="F719" s="13"/>
      <c r="L719" s="13"/>
      <c r="N719" s="13"/>
    </row>
    <row r="720" ht="15.75" customHeight="1">
      <c r="A720" s="13"/>
      <c r="B720" s="13"/>
      <c r="C720" s="13"/>
      <c r="D720" s="13"/>
      <c r="E720" s="13"/>
      <c r="F720" s="13"/>
      <c r="L720" s="13"/>
      <c r="N720" s="13"/>
    </row>
    <row r="721" ht="15.75" customHeight="1">
      <c r="A721" s="13"/>
      <c r="B721" s="13"/>
      <c r="C721" s="13"/>
      <c r="D721" s="13"/>
      <c r="E721" s="13"/>
      <c r="F721" s="13"/>
      <c r="L721" s="13"/>
      <c r="N721" s="13"/>
    </row>
    <row r="722" ht="15.75" customHeight="1">
      <c r="A722" s="13"/>
      <c r="B722" s="13"/>
      <c r="C722" s="13"/>
      <c r="D722" s="13"/>
      <c r="E722" s="13"/>
      <c r="F722" s="13"/>
      <c r="L722" s="13"/>
      <c r="N722" s="13"/>
    </row>
    <row r="723" ht="15.75" customHeight="1">
      <c r="A723" s="13"/>
      <c r="B723" s="13"/>
      <c r="C723" s="13"/>
      <c r="D723" s="13"/>
      <c r="E723" s="13"/>
      <c r="F723" s="13"/>
      <c r="L723" s="13"/>
      <c r="N723" s="13"/>
    </row>
    <row r="724" ht="15.75" customHeight="1">
      <c r="A724" s="13"/>
      <c r="B724" s="13"/>
      <c r="C724" s="13"/>
      <c r="D724" s="13"/>
      <c r="E724" s="13"/>
      <c r="F724" s="13"/>
      <c r="L724" s="13"/>
      <c r="N724" s="13"/>
    </row>
    <row r="725" ht="15.75" customHeight="1">
      <c r="A725" s="13"/>
      <c r="B725" s="13"/>
      <c r="C725" s="13"/>
      <c r="D725" s="13"/>
      <c r="E725" s="13"/>
      <c r="F725" s="13"/>
      <c r="L725" s="13"/>
      <c r="N725" s="13"/>
    </row>
    <row r="726" ht="15.75" customHeight="1">
      <c r="A726" s="13"/>
      <c r="B726" s="13"/>
      <c r="C726" s="13"/>
      <c r="D726" s="13"/>
      <c r="E726" s="13"/>
      <c r="F726" s="13"/>
      <c r="L726" s="13"/>
      <c r="N726" s="13"/>
    </row>
    <row r="727" ht="15.75" customHeight="1">
      <c r="A727" s="13"/>
      <c r="B727" s="13"/>
      <c r="C727" s="13"/>
      <c r="D727" s="13"/>
      <c r="E727" s="13"/>
      <c r="F727" s="13"/>
      <c r="L727" s="13"/>
      <c r="N727" s="13"/>
    </row>
    <row r="728" ht="15.75" customHeight="1">
      <c r="A728" s="13"/>
      <c r="B728" s="13"/>
      <c r="C728" s="13"/>
      <c r="D728" s="13"/>
      <c r="E728" s="13"/>
      <c r="F728" s="13"/>
      <c r="L728" s="13"/>
      <c r="N728" s="13"/>
    </row>
    <row r="729" ht="15.75" customHeight="1">
      <c r="A729" s="13"/>
      <c r="B729" s="13"/>
      <c r="C729" s="13"/>
      <c r="D729" s="13"/>
      <c r="E729" s="13"/>
      <c r="F729" s="13"/>
      <c r="L729" s="13"/>
      <c r="N729" s="13"/>
    </row>
    <row r="730" ht="15.75" customHeight="1">
      <c r="A730" s="13"/>
      <c r="B730" s="13"/>
      <c r="C730" s="13"/>
      <c r="D730" s="13"/>
      <c r="E730" s="13"/>
      <c r="F730" s="13"/>
      <c r="L730" s="13"/>
      <c r="N730" s="13"/>
    </row>
    <row r="731" ht="15.75" customHeight="1">
      <c r="A731" s="13"/>
      <c r="B731" s="13"/>
      <c r="C731" s="13"/>
      <c r="D731" s="13"/>
      <c r="E731" s="13"/>
      <c r="F731" s="13"/>
      <c r="L731" s="13"/>
      <c r="N731" s="13"/>
    </row>
    <row r="732" ht="15.75" customHeight="1">
      <c r="A732" s="13"/>
      <c r="B732" s="13"/>
      <c r="C732" s="13"/>
      <c r="D732" s="13"/>
      <c r="E732" s="13"/>
      <c r="F732" s="13"/>
      <c r="L732" s="13"/>
      <c r="N732" s="13"/>
    </row>
    <row r="733" ht="15.75" customHeight="1">
      <c r="A733" s="13"/>
      <c r="B733" s="13"/>
      <c r="C733" s="13"/>
      <c r="D733" s="13"/>
      <c r="E733" s="13"/>
      <c r="F733" s="13"/>
      <c r="L733" s="13"/>
      <c r="N733" s="13"/>
    </row>
    <row r="734" ht="15.75" customHeight="1">
      <c r="A734" s="13"/>
      <c r="B734" s="13"/>
      <c r="C734" s="13"/>
      <c r="D734" s="13"/>
      <c r="E734" s="13"/>
      <c r="F734" s="13"/>
      <c r="L734" s="13"/>
      <c r="N734" s="13"/>
    </row>
    <row r="735" ht="15.75" customHeight="1">
      <c r="A735" s="13"/>
      <c r="B735" s="13"/>
      <c r="C735" s="13"/>
      <c r="D735" s="13"/>
      <c r="E735" s="13"/>
      <c r="F735" s="13"/>
      <c r="L735" s="13"/>
      <c r="N735" s="13"/>
    </row>
    <row r="736" ht="15.75" customHeight="1">
      <c r="A736" s="13"/>
      <c r="B736" s="13"/>
      <c r="C736" s="13"/>
      <c r="D736" s="13"/>
      <c r="E736" s="13"/>
      <c r="F736" s="13"/>
      <c r="L736" s="13"/>
      <c r="N736" s="13"/>
    </row>
    <row r="737" ht="15.75" customHeight="1">
      <c r="A737" s="13"/>
      <c r="B737" s="13"/>
      <c r="C737" s="13"/>
      <c r="D737" s="13"/>
      <c r="E737" s="13"/>
      <c r="F737" s="13"/>
      <c r="L737" s="13"/>
      <c r="N737" s="13"/>
    </row>
    <row r="738" ht="15.75" customHeight="1">
      <c r="A738" s="13"/>
      <c r="B738" s="13"/>
      <c r="C738" s="13"/>
      <c r="D738" s="13"/>
      <c r="E738" s="13"/>
      <c r="F738" s="13"/>
      <c r="L738" s="13"/>
      <c r="N738" s="13"/>
    </row>
    <row r="739" ht="15.75" customHeight="1">
      <c r="A739" s="13"/>
      <c r="B739" s="13"/>
      <c r="C739" s="13"/>
      <c r="D739" s="13"/>
      <c r="E739" s="13"/>
      <c r="F739" s="13"/>
      <c r="L739" s="13"/>
      <c r="N739" s="13"/>
    </row>
    <row r="740" ht="15.75" customHeight="1">
      <c r="A740" s="13"/>
      <c r="B740" s="13"/>
      <c r="C740" s="13"/>
      <c r="D740" s="13"/>
      <c r="E740" s="13"/>
      <c r="F740" s="13"/>
      <c r="L740" s="13"/>
      <c r="N740" s="13"/>
    </row>
    <row r="741" ht="15.75" customHeight="1">
      <c r="A741" s="13"/>
      <c r="B741" s="13"/>
      <c r="C741" s="13"/>
      <c r="D741" s="13"/>
      <c r="E741" s="13"/>
      <c r="F741" s="13"/>
      <c r="L741" s="13"/>
      <c r="N741" s="13"/>
    </row>
    <row r="742" ht="15.75" customHeight="1">
      <c r="A742" s="13"/>
      <c r="B742" s="13"/>
      <c r="C742" s="13"/>
      <c r="D742" s="13"/>
      <c r="E742" s="13"/>
      <c r="F742" s="13"/>
      <c r="L742" s="13"/>
      <c r="N742" s="13"/>
    </row>
    <row r="743" ht="15.75" customHeight="1">
      <c r="A743" s="13"/>
      <c r="B743" s="13"/>
      <c r="C743" s="13"/>
      <c r="D743" s="13"/>
      <c r="E743" s="13"/>
      <c r="F743" s="13"/>
      <c r="L743" s="13"/>
      <c r="N743" s="13"/>
    </row>
    <row r="744" ht="15.75" customHeight="1">
      <c r="A744" s="13"/>
      <c r="B744" s="13"/>
      <c r="C744" s="13"/>
      <c r="D744" s="13"/>
      <c r="E744" s="13"/>
      <c r="F744" s="13"/>
      <c r="L744" s="13"/>
      <c r="N744" s="13"/>
    </row>
    <row r="745" ht="15.75" customHeight="1">
      <c r="A745" s="13"/>
      <c r="B745" s="13"/>
      <c r="C745" s="13"/>
      <c r="D745" s="13"/>
      <c r="E745" s="13"/>
      <c r="F745" s="13"/>
      <c r="L745" s="13"/>
      <c r="N745" s="13"/>
    </row>
    <row r="746" ht="15.75" customHeight="1">
      <c r="A746" s="13"/>
      <c r="B746" s="13"/>
      <c r="C746" s="13"/>
      <c r="D746" s="13"/>
      <c r="E746" s="13"/>
      <c r="F746" s="13"/>
      <c r="L746" s="13"/>
      <c r="N746" s="13"/>
    </row>
    <row r="747" ht="15.75" customHeight="1">
      <c r="A747" s="13"/>
      <c r="B747" s="13"/>
      <c r="C747" s="13"/>
      <c r="D747" s="13"/>
      <c r="E747" s="13"/>
      <c r="F747" s="13"/>
      <c r="L747" s="13"/>
      <c r="N747" s="13"/>
    </row>
    <row r="748" ht="15.75" customHeight="1">
      <c r="A748" s="13"/>
      <c r="B748" s="13"/>
      <c r="C748" s="13"/>
      <c r="D748" s="13"/>
      <c r="E748" s="13"/>
      <c r="F748" s="13"/>
      <c r="L748" s="13"/>
      <c r="N748" s="13"/>
    </row>
    <row r="749" ht="15.75" customHeight="1">
      <c r="A749" s="13"/>
      <c r="B749" s="13"/>
      <c r="C749" s="13"/>
      <c r="D749" s="13"/>
      <c r="E749" s="13"/>
      <c r="F749" s="13"/>
      <c r="L749" s="13"/>
      <c r="N749" s="13"/>
    </row>
    <row r="750" ht="15.75" customHeight="1">
      <c r="A750" s="13"/>
      <c r="B750" s="13"/>
      <c r="C750" s="13"/>
      <c r="D750" s="13"/>
      <c r="E750" s="13"/>
      <c r="F750" s="13"/>
      <c r="L750" s="13"/>
      <c r="N750" s="13"/>
    </row>
    <row r="751" ht="15.75" customHeight="1">
      <c r="A751" s="13"/>
      <c r="B751" s="13"/>
      <c r="C751" s="13"/>
      <c r="D751" s="13"/>
      <c r="E751" s="13"/>
      <c r="F751" s="13"/>
      <c r="L751" s="13"/>
      <c r="N751" s="13"/>
    </row>
    <row r="752" ht="15.75" customHeight="1">
      <c r="A752" s="13"/>
      <c r="B752" s="13"/>
      <c r="C752" s="13"/>
      <c r="D752" s="13"/>
      <c r="E752" s="13"/>
      <c r="F752" s="13"/>
      <c r="L752" s="13"/>
      <c r="N752" s="13"/>
    </row>
    <row r="753" ht="15.75" customHeight="1">
      <c r="A753" s="13"/>
      <c r="B753" s="13"/>
      <c r="C753" s="13"/>
      <c r="D753" s="13"/>
      <c r="E753" s="13"/>
      <c r="F753" s="13"/>
      <c r="L753" s="13"/>
      <c r="N753" s="13"/>
    </row>
    <row r="754" ht="15.75" customHeight="1">
      <c r="A754" s="13"/>
      <c r="B754" s="13"/>
      <c r="C754" s="13"/>
      <c r="D754" s="13"/>
      <c r="E754" s="13"/>
      <c r="F754" s="13"/>
      <c r="L754" s="13"/>
      <c r="N754" s="13"/>
    </row>
    <row r="755" ht="15.75" customHeight="1">
      <c r="A755" s="13"/>
      <c r="B755" s="13"/>
      <c r="C755" s="13"/>
      <c r="D755" s="13"/>
      <c r="E755" s="13"/>
      <c r="F755" s="13"/>
      <c r="L755" s="13"/>
      <c r="N755" s="13"/>
    </row>
    <row r="756" ht="15.75" customHeight="1">
      <c r="A756" s="13"/>
      <c r="B756" s="13"/>
      <c r="C756" s="13"/>
      <c r="D756" s="13"/>
      <c r="E756" s="13"/>
      <c r="F756" s="13"/>
      <c r="L756" s="13"/>
      <c r="N756" s="13"/>
    </row>
    <row r="757" ht="15.75" customHeight="1">
      <c r="A757" s="13"/>
      <c r="B757" s="13"/>
      <c r="C757" s="13"/>
      <c r="D757" s="13"/>
      <c r="E757" s="13"/>
      <c r="F757" s="13"/>
      <c r="L757" s="13"/>
      <c r="N757" s="13"/>
    </row>
    <row r="758" ht="15.75" customHeight="1">
      <c r="A758" s="13"/>
      <c r="B758" s="13"/>
      <c r="C758" s="13"/>
      <c r="D758" s="13"/>
      <c r="E758" s="13"/>
      <c r="F758" s="13"/>
      <c r="L758" s="13"/>
      <c r="N758" s="13"/>
    </row>
    <row r="759" ht="15.75" customHeight="1">
      <c r="A759" s="13"/>
      <c r="B759" s="13"/>
      <c r="C759" s="13"/>
      <c r="D759" s="13"/>
      <c r="E759" s="13"/>
      <c r="F759" s="13"/>
      <c r="L759" s="13"/>
      <c r="N759" s="13"/>
    </row>
    <row r="760" ht="15.75" customHeight="1">
      <c r="A760" s="13"/>
      <c r="B760" s="13"/>
      <c r="C760" s="13"/>
      <c r="D760" s="13"/>
      <c r="E760" s="13"/>
      <c r="F760" s="13"/>
      <c r="L760" s="13"/>
      <c r="N760" s="13"/>
    </row>
    <row r="761" ht="15.75" customHeight="1">
      <c r="A761" s="13"/>
      <c r="B761" s="13"/>
      <c r="C761" s="13"/>
      <c r="D761" s="13"/>
      <c r="E761" s="13"/>
      <c r="F761" s="13"/>
      <c r="L761" s="13"/>
      <c r="N761" s="13"/>
    </row>
    <row r="762" ht="15.75" customHeight="1">
      <c r="A762" s="13"/>
      <c r="B762" s="13"/>
      <c r="C762" s="13"/>
      <c r="D762" s="13"/>
      <c r="E762" s="13"/>
      <c r="F762" s="13"/>
      <c r="L762" s="13"/>
      <c r="N762" s="13"/>
    </row>
    <row r="763" ht="15.75" customHeight="1">
      <c r="A763" s="13"/>
      <c r="B763" s="13"/>
      <c r="C763" s="13"/>
      <c r="D763" s="13"/>
      <c r="E763" s="13"/>
      <c r="F763" s="13"/>
      <c r="L763" s="13"/>
      <c r="N763" s="13"/>
    </row>
    <row r="764" ht="15.75" customHeight="1">
      <c r="A764" s="13"/>
      <c r="B764" s="13"/>
      <c r="C764" s="13"/>
      <c r="D764" s="13"/>
      <c r="E764" s="13"/>
      <c r="F764" s="13"/>
      <c r="L764" s="13"/>
      <c r="N764" s="13"/>
    </row>
    <row r="765" ht="15.75" customHeight="1">
      <c r="A765" s="13"/>
      <c r="B765" s="13"/>
      <c r="C765" s="13"/>
      <c r="D765" s="13"/>
      <c r="E765" s="13"/>
      <c r="F765" s="13"/>
      <c r="L765" s="13"/>
      <c r="N765" s="13"/>
    </row>
    <row r="766" ht="15.75" customHeight="1">
      <c r="A766" s="13"/>
      <c r="B766" s="13"/>
      <c r="C766" s="13"/>
      <c r="D766" s="13"/>
      <c r="E766" s="13"/>
      <c r="F766" s="13"/>
      <c r="L766" s="13"/>
      <c r="N766" s="13"/>
    </row>
    <row r="767" ht="15.75" customHeight="1">
      <c r="A767" s="13"/>
      <c r="B767" s="13"/>
      <c r="C767" s="13"/>
      <c r="D767" s="13"/>
      <c r="E767" s="13"/>
      <c r="F767" s="13"/>
      <c r="L767" s="13"/>
      <c r="N767" s="13"/>
    </row>
    <row r="768" ht="15.75" customHeight="1">
      <c r="A768" s="13"/>
      <c r="B768" s="13"/>
      <c r="C768" s="13"/>
      <c r="D768" s="13"/>
      <c r="E768" s="13"/>
      <c r="F768" s="13"/>
      <c r="L768" s="13"/>
      <c r="N768" s="13"/>
    </row>
    <row r="769" ht="15.75" customHeight="1">
      <c r="A769" s="13"/>
      <c r="B769" s="13"/>
      <c r="C769" s="13"/>
      <c r="D769" s="13"/>
      <c r="E769" s="13"/>
      <c r="F769" s="13"/>
      <c r="L769" s="13"/>
      <c r="N769" s="13"/>
    </row>
    <row r="770" ht="15.75" customHeight="1">
      <c r="A770" s="13"/>
      <c r="B770" s="13"/>
      <c r="C770" s="13"/>
      <c r="D770" s="13"/>
      <c r="E770" s="13"/>
      <c r="F770" s="13"/>
      <c r="L770" s="13"/>
      <c r="N770" s="13"/>
    </row>
    <row r="771" ht="15.75" customHeight="1">
      <c r="A771" s="13"/>
      <c r="B771" s="13"/>
      <c r="C771" s="13"/>
      <c r="D771" s="13"/>
      <c r="E771" s="13"/>
      <c r="F771" s="13"/>
      <c r="L771" s="13"/>
      <c r="N771" s="13"/>
    </row>
    <row r="772" ht="15.75" customHeight="1">
      <c r="A772" s="13"/>
      <c r="B772" s="13"/>
      <c r="C772" s="13"/>
      <c r="D772" s="13"/>
      <c r="E772" s="13"/>
      <c r="F772" s="13"/>
      <c r="L772" s="13"/>
      <c r="N772" s="13"/>
    </row>
    <row r="773" ht="15.75" customHeight="1">
      <c r="A773" s="13"/>
      <c r="B773" s="13"/>
      <c r="C773" s="13"/>
      <c r="D773" s="13"/>
      <c r="E773" s="13"/>
      <c r="F773" s="13"/>
      <c r="L773" s="13"/>
      <c r="N773" s="13"/>
    </row>
    <row r="774" ht="15.75" customHeight="1">
      <c r="A774" s="13"/>
      <c r="B774" s="13"/>
      <c r="C774" s="13"/>
      <c r="D774" s="13"/>
      <c r="E774" s="13"/>
      <c r="F774" s="13"/>
      <c r="L774" s="13"/>
      <c r="N774" s="13"/>
    </row>
    <row r="775" ht="15.75" customHeight="1">
      <c r="A775" s="13"/>
      <c r="B775" s="13"/>
      <c r="C775" s="13"/>
      <c r="D775" s="13"/>
      <c r="E775" s="13"/>
      <c r="F775" s="13"/>
      <c r="L775" s="13"/>
      <c r="N775" s="13"/>
    </row>
    <row r="776" ht="15.75" customHeight="1">
      <c r="A776" s="13"/>
      <c r="B776" s="13"/>
      <c r="C776" s="13"/>
      <c r="D776" s="13"/>
      <c r="E776" s="13"/>
      <c r="F776" s="13"/>
      <c r="L776" s="13"/>
      <c r="N776" s="13"/>
    </row>
    <row r="777" ht="15.75" customHeight="1">
      <c r="A777" s="13"/>
      <c r="B777" s="13"/>
      <c r="C777" s="13"/>
      <c r="D777" s="13"/>
      <c r="E777" s="13"/>
      <c r="F777" s="13"/>
      <c r="L777" s="13"/>
      <c r="N777" s="13"/>
    </row>
    <row r="778" ht="15.75" customHeight="1">
      <c r="A778" s="13"/>
      <c r="B778" s="13"/>
      <c r="C778" s="13"/>
      <c r="D778" s="13"/>
      <c r="E778" s="13"/>
      <c r="F778" s="13"/>
      <c r="L778" s="13"/>
      <c r="N778" s="13"/>
    </row>
    <row r="779" ht="15.75" customHeight="1">
      <c r="A779" s="13"/>
      <c r="B779" s="13"/>
      <c r="C779" s="13"/>
      <c r="D779" s="13"/>
      <c r="E779" s="13"/>
      <c r="F779" s="13"/>
      <c r="L779" s="13"/>
      <c r="N779" s="13"/>
    </row>
    <row r="780" ht="15.75" customHeight="1">
      <c r="A780" s="13"/>
      <c r="B780" s="13"/>
      <c r="C780" s="13"/>
      <c r="D780" s="13"/>
      <c r="E780" s="13"/>
      <c r="F780" s="13"/>
      <c r="L780" s="13"/>
      <c r="N780" s="13"/>
    </row>
    <row r="781" ht="15.75" customHeight="1">
      <c r="A781" s="13"/>
      <c r="B781" s="13"/>
      <c r="C781" s="13"/>
      <c r="D781" s="13"/>
      <c r="E781" s="13"/>
      <c r="F781" s="13"/>
      <c r="L781" s="13"/>
      <c r="N781" s="13"/>
    </row>
    <row r="782" ht="15.75" customHeight="1">
      <c r="A782" s="13"/>
      <c r="B782" s="13"/>
      <c r="C782" s="13"/>
      <c r="D782" s="13"/>
      <c r="E782" s="13"/>
      <c r="F782" s="13"/>
      <c r="L782" s="13"/>
      <c r="N782" s="13"/>
    </row>
    <row r="783" ht="15.75" customHeight="1">
      <c r="A783" s="13"/>
      <c r="B783" s="13"/>
      <c r="C783" s="13"/>
      <c r="D783" s="13"/>
      <c r="E783" s="13"/>
      <c r="F783" s="13"/>
      <c r="L783" s="13"/>
      <c r="N783" s="13"/>
    </row>
    <row r="784" ht="15.75" customHeight="1">
      <c r="A784" s="13"/>
      <c r="B784" s="13"/>
      <c r="C784" s="13"/>
      <c r="D784" s="13"/>
      <c r="E784" s="13"/>
      <c r="F784" s="13"/>
      <c r="L784" s="13"/>
      <c r="N784" s="13"/>
    </row>
    <row r="785" ht="15.75" customHeight="1">
      <c r="A785" s="13"/>
      <c r="B785" s="13"/>
      <c r="C785" s="13"/>
      <c r="D785" s="13"/>
      <c r="E785" s="13"/>
      <c r="F785" s="13"/>
      <c r="L785" s="13"/>
      <c r="N785" s="13"/>
    </row>
    <row r="786" ht="15.75" customHeight="1">
      <c r="A786" s="13"/>
      <c r="B786" s="13"/>
      <c r="C786" s="13"/>
      <c r="D786" s="13"/>
      <c r="E786" s="13"/>
      <c r="F786" s="13"/>
      <c r="L786" s="13"/>
      <c r="N786" s="13"/>
    </row>
    <row r="787" ht="15.75" customHeight="1">
      <c r="A787" s="13"/>
      <c r="B787" s="13"/>
      <c r="C787" s="13"/>
      <c r="D787" s="13"/>
      <c r="E787" s="13"/>
      <c r="F787" s="13"/>
      <c r="L787" s="13"/>
      <c r="N787" s="13"/>
    </row>
    <row r="788" ht="15.75" customHeight="1">
      <c r="A788" s="13"/>
      <c r="B788" s="13"/>
      <c r="C788" s="13"/>
      <c r="D788" s="13"/>
      <c r="E788" s="13"/>
      <c r="F788" s="13"/>
      <c r="L788" s="13"/>
      <c r="N788" s="13"/>
    </row>
    <row r="789" ht="15.75" customHeight="1">
      <c r="A789" s="13"/>
      <c r="B789" s="13"/>
      <c r="C789" s="13"/>
      <c r="D789" s="13"/>
      <c r="E789" s="13"/>
      <c r="F789" s="13"/>
      <c r="L789" s="13"/>
      <c r="N789" s="13"/>
    </row>
    <row r="790" ht="15.75" customHeight="1">
      <c r="A790" s="13"/>
      <c r="B790" s="13"/>
      <c r="C790" s="13"/>
      <c r="D790" s="13"/>
      <c r="E790" s="13"/>
      <c r="F790" s="13"/>
      <c r="L790" s="13"/>
      <c r="N790" s="13"/>
    </row>
    <row r="791" ht="15.75" customHeight="1">
      <c r="A791" s="13"/>
      <c r="B791" s="13"/>
      <c r="C791" s="13"/>
      <c r="D791" s="13"/>
      <c r="E791" s="13"/>
      <c r="F791" s="13"/>
      <c r="L791" s="13"/>
      <c r="N791" s="13"/>
    </row>
    <row r="792" ht="15.75" customHeight="1">
      <c r="A792" s="13"/>
      <c r="B792" s="13"/>
      <c r="C792" s="13"/>
      <c r="D792" s="13"/>
      <c r="E792" s="13"/>
      <c r="F792" s="13"/>
      <c r="L792" s="13"/>
      <c r="N792" s="13"/>
    </row>
    <row r="793" ht="15.75" customHeight="1">
      <c r="A793" s="13"/>
      <c r="B793" s="13"/>
      <c r="C793" s="13"/>
      <c r="D793" s="13"/>
      <c r="E793" s="13"/>
      <c r="F793" s="13"/>
      <c r="L793" s="13"/>
      <c r="N793" s="13"/>
    </row>
    <row r="794" ht="15.75" customHeight="1">
      <c r="A794" s="13"/>
      <c r="B794" s="13"/>
      <c r="C794" s="13"/>
      <c r="D794" s="13"/>
      <c r="E794" s="13"/>
      <c r="F794" s="13"/>
      <c r="L794" s="13"/>
      <c r="N794" s="13"/>
    </row>
    <row r="795" ht="15.75" customHeight="1">
      <c r="A795" s="13"/>
      <c r="B795" s="13"/>
      <c r="C795" s="13"/>
      <c r="D795" s="13"/>
      <c r="E795" s="13"/>
      <c r="F795" s="13"/>
      <c r="L795" s="13"/>
      <c r="N795" s="13"/>
    </row>
    <row r="796" ht="15.75" customHeight="1">
      <c r="A796" s="13"/>
      <c r="B796" s="13"/>
      <c r="C796" s="13"/>
      <c r="D796" s="13"/>
      <c r="E796" s="13"/>
      <c r="F796" s="13"/>
      <c r="L796" s="13"/>
      <c r="N796" s="13"/>
    </row>
    <row r="797" ht="15.75" customHeight="1">
      <c r="A797" s="13"/>
      <c r="B797" s="13"/>
      <c r="C797" s="13"/>
      <c r="D797" s="13"/>
      <c r="E797" s="13"/>
      <c r="F797" s="13"/>
      <c r="L797" s="13"/>
      <c r="N797" s="13"/>
    </row>
    <row r="798" ht="15.75" customHeight="1">
      <c r="A798" s="13"/>
      <c r="B798" s="13"/>
      <c r="C798" s="13"/>
      <c r="D798" s="13"/>
      <c r="E798" s="13"/>
      <c r="F798" s="13"/>
      <c r="L798" s="13"/>
      <c r="N798" s="13"/>
    </row>
    <row r="799" ht="15.75" customHeight="1">
      <c r="A799" s="13"/>
      <c r="B799" s="13"/>
      <c r="C799" s="13"/>
      <c r="D799" s="13"/>
      <c r="E799" s="13"/>
      <c r="F799" s="13"/>
      <c r="L799" s="13"/>
      <c r="N799" s="13"/>
    </row>
    <row r="800" ht="15.75" customHeight="1">
      <c r="A800" s="13"/>
      <c r="B800" s="13"/>
      <c r="C800" s="13"/>
      <c r="D800" s="13"/>
      <c r="E800" s="13"/>
      <c r="F800" s="13"/>
      <c r="L800" s="13"/>
      <c r="N800" s="13"/>
    </row>
    <row r="801" ht="15.75" customHeight="1">
      <c r="A801" s="13"/>
      <c r="B801" s="13"/>
      <c r="C801" s="13"/>
      <c r="D801" s="13"/>
      <c r="E801" s="13"/>
      <c r="F801" s="13"/>
      <c r="L801" s="13"/>
      <c r="N801" s="13"/>
    </row>
    <row r="802" ht="15.75" customHeight="1">
      <c r="A802" s="13"/>
      <c r="B802" s="13"/>
      <c r="C802" s="13"/>
      <c r="D802" s="13"/>
      <c r="E802" s="13"/>
      <c r="F802" s="13"/>
      <c r="L802" s="13"/>
      <c r="N802" s="13"/>
    </row>
    <row r="803" ht="15.75" customHeight="1">
      <c r="A803" s="13"/>
      <c r="B803" s="13"/>
      <c r="C803" s="13"/>
      <c r="D803" s="13"/>
      <c r="E803" s="13"/>
      <c r="F803" s="13"/>
      <c r="L803" s="13"/>
      <c r="N803" s="13"/>
    </row>
    <row r="804" ht="15.75" customHeight="1">
      <c r="A804" s="13"/>
      <c r="B804" s="13"/>
      <c r="C804" s="13"/>
      <c r="D804" s="13"/>
      <c r="E804" s="13"/>
      <c r="F804" s="13"/>
      <c r="L804" s="13"/>
      <c r="N804" s="13"/>
    </row>
    <row r="805" ht="15.75" customHeight="1">
      <c r="A805" s="13"/>
      <c r="B805" s="13"/>
      <c r="C805" s="13"/>
      <c r="D805" s="13"/>
      <c r="E805" s="13"/>
      <c r="F805" s="13"/>
      <c r="L805" s="13"/>
      <c r="N805" s="13"/>
    </row>
    <row r="806" ht="15.75" customHeight="1">
      <c r="A806" s="13"/>
      <c r="B806" s="13"/>
      <c r="C806" s="13"/>
      <c r="D806" s="13"/>
      <c r="E806" s="13"/>
      <c r="F806" s="13"/>
      <c r="L806" s="13"/>
      <c r="N806" s="13"/>
    </row>
    <row r="807" ht="15.75" customHeight="1">
      <c r="A807" s="13"/>
      <c r="B807" s="13"/>
      <c r="C807" s="13"/>
      <c r="D807" s="13"/>
      <c r="E807" s="13"/>
      <c r="F807" s="13"/>
      <c r="L807" s="13"/>
      <c r="N807" s="13"/>
    </row>
    <row r="808" ht="15.75" customHeight="1">
      <c r="A808" s="13"/>
      <c r="B808" s="13"/>
      <c r="C808" s="13"/>
      <c r="D808" s="13"/>
      <c r="E808" s="13"/>
      <c r="F808" s="13"/>
      <c r="L808" s="13"/>
      <c r="N808" s="13"/>
    </row>
    <row r="809" ht="15.75" customHeight="1">
      <c r="A809" s="13"/>
      <c r="B809" s="13"/>
      <c r="C809" s="13"/>
      <c r="D809" s="13"/>
      <c r="E809" s="13"/>
      <c r="F809" s="13"/>
      <c r="L809" s="13"/>
      <c r="N809" s="13"/>
    </row>
    <row r="810" ht="15.75" customHeight="1">
      <c r="A810" s="13"/>
      <c r="B810" s="13"/>
      <c r="C810" s="13"/>
      <c r="D810" s="13"/>
      <c r="E810" s="13"/>
      <c r="F810" s="13"/>
      <c r="L810" s="13"/>
      <c r="N810" s="13"/>
    </row>
    <row r="811" ht="15.75" customHeight="1">
      <c r="A811" s="13"/>
      <c r="B811" s="13"/>
      <c r="C811" s="13"/>
      <c r="D811" s="13"/>
      <c r="E811" s="13"/>
      <c r="F811" s="13"/>
      <c r="L811" s="13"/>
      <c r="N811" s="13"/>
    </row>
    <row r="812" ht="15.75" customHeight="1">
      <c r="A812" s="13"/>
      <c r="B812" s="13"/>
      <c r="C812" s="13"/>
      <c r="D812" s="13"/>
      <c r="E812" s="13"/>
      <c r="F812" s="13"/>
      <c r="L812" s="13"/>
      <c r="N812" s="13"/>
    </row>
    <row r="813" ht="15.75" customHeight="1">
      <c r="A813" s="13"/>
      <c r="B813" s="13"/>
      <c r="C813" s="13"/>
      <c r="D813" s="13"/>
      <c r="E813" s="13"/>
      <c r="F813" s="13"/>
      <c r="L813" s="13"/>
      <c r="N813" s="13"/>
    </row>
    <row r="814" ht="15.75" customHeight="1">
      <c r="A814" s="13"/>
      <c r="B814" s="13"/>
      <c r="C814" s="13"/>
      <c r="D814" s="13"/>
      <c r="E814" s="13"/>
      <c r="F814" s="13"/>
      <c r="L814" s="13"/>
      <c r="N814" s="13"/>
    </row>
    <row r="815" ht="15.75" customHeight="1">
      <c r="A815" s="13"/>
      <c r="B815" s="13"/>
      <c r="C815" s="13"/>
      <c r="D815" s="13"/>
      <c r="E815" s="13"/>
      <c r="F815" s="13"/>
      <c r="L815" s="13"/>
      <c r="N815" s="13"/>
    </row>
    <row r="816" ht="15.75" customHeight="1">
      <c r="A816" s="13"/>
      <c r="B816" s="13"/>
      <c r="C816" s="13"/>
      <c r="D816" s="13"/>
      <c r="E816" s="13"/>
      <c r="F816" s="13"/>
      <c r="L816" s="13"/>
      <c r="N816" s="13"/>
    </row>
    <row r="817" ht="15.75" customHeight="1">
      <c r="A817" s="13"/>
      <c r="B817" s="13"/>
      <c r="C817" s="13"/>
      <c r="D817" s="13"/>
      <c r="E817" s="13"/>
      <c r="F817" s="13"/>
      <c r="L817" s="13"/>
      <c r="N817" s="13"/>
    </row>
    <row r="818" ht="15.75" customHeight="1">
      <c r="A818" s="13"/>
      <c r="B818" s="13"/>
      <c r="C818" s="13"/>
      <c r="D818" s="13"/>
      <c r="E818" s="13"/>
      <c r="F818" s="13"/>
      <c r="L818" s="13"/>
      <c r="N818" s="13"/>
    </row>
    <row r="819" ht="15.75" customHeight="1">
      <c r="A819" s="13"/>
      <c r="B819" s="13"/>
      <c r="C819" s="13"/>
      <c r="D819" s="13"/>
      <c r="E819" s="13"/>
      <c r="F819" s="13"/>
      <c r="L819" s="13"/>
      <c r="N819" s="13"/>
    </row>
    <row r="820" ht="15.75" customHeight="1">
      <c r="A820" s="13"/>
      <c r="B820" s="13"/>
      <c r="C820" s="13"/>
      <c r="D820" s="13"/>
      <c r="E820" s="13"/>
      <c r="F820" s="13"/>
      <c r="L820" s="13"/>
      <c r="N820" s="13"/>
    </row>
    <row r="821" ht="15.75" customHeight="1">
      <c r="A821" s="13"/>
      <c r="B821" s="13"/>
      <c r="C821" s="13"/>
      <c r="D821" s="13"/>
      <c r="E821" s="13"/>
      <c r="F821" s="13"/>
      <c r="L821" s="13"/>
      <c r="N821" s="13"/>
    </row>
    <row r="822" ht="15.75" customHeight="1">
      <c r="A822" s="13"/>
      <c r="B822" s="13"/>
      <c r="C822" s="13"/>
      <c r="D822" s="13"/>
      <c r="E822" s="13"/>
      <c r="F822" s="13"/>
      <c r="L822" s="13"/>
      <c r="N822" s="13"/>
    </row>
    <row r="823" ht="15.75" customHeight="1">
      <c r="A823" s="13"/>
      <c r="B823" s="13"/>
      <c r="C823" s="13"/>
      <c r="D823" s="13"/>
      <c r="E823" s="13"/>
      <c r="F823" s="13"/>
      <c r="L823" s="13"/>
      <c r="N823" s="13"/>
    </row>
    <row r="824" ht="15.75" customHeight="1">
      <c r="A824" s="13"/>
      <c r="B824" s="13"/>
      <c r="C824" s="13"/>
      <c r="D824" s="13"/>
      <c r="E824" s="13"/>
      <c r="F824" s="13"/>
      <c r="L824" s="13"/>
      <c r="N824" s="13"/>
    </row>
    <row r="825" ht="15.75" customHeight="1">
      <c r="A825" s="13"/>
      <c r="B825" s="13"/>
      <c r="C825" s="13"/>
      <c r="D825" s="13"/>
      <c r="E825" s="13"/>
      <c r="F825" s="13"/>
      <c r="L825" s="13"/>
      <c r="N825" s="13"/>
    </row>
    <row r="826" ht="15.75" customHeight="1">
      <c r="A826" s="13"/>
      <c r="B826" s="13"/>
      <c r="C826" s="13"/>
      <c r="D826" s="13"/>
      <c r="E826" s="13"/>
      <c r="F826" s="13"/>
      <c r="L826" s="13"/>
      <c r="N826" s="13"/>
    </row>
    <row r="827" ht="15.75" customHeight="1">
      <c r="A827" s="13"/>
      <c r="B827" s="13"/>
      <c r="C827" s="13"/>
      <c r="D827" s="13"/>
      <c r="E827" s="13"/>
      <c r="F827" s="13"/>
      <c r="L827" s="13"/>
      <c r="N827" s="13"/>
    </row>
    <row r="828" ht="15.75" customHeight="1">
      <c r="A828" s="13"/>
      <c r="B828" s="13"/>
      <c r="C828" s="13"/>
      <c r="D828" s="13"/>
      <c r="E828" s="13"/>
      <c r="F828" s="13"/>
      <c r="L828" s="13"/>
      <c r="N828" s="13"/>
    </row>
    <row r="829" ht="15.75" customHeight="1">
      <c r="A829" s="13"/>
      <c r="B829" s="13"/>
      <c r="C829" s="13"/>
      <c r="D829" s="13"/>
      <c r="E829" s="13"/>
      <c r="F829" s="13"/>
      <c r="L829" s="13"/>
      <c r="N829" s="13"/>
    </row>
    <row r="830" ht="15.75" customHeight="1">
      <c r="A830" s="13"/>
      <c r="B830" s="13"/>
      <c r="C830" s="13"/>
      <c r="D830" s="13"/>
      <c r="E830" s="13"/>
      <c r="F830" s="13"/>
      <c r="L830" s="13"/>
      <c r="N830" s="13"/>
    </row>
    <row r="831" ht="15.75" customHeight="1">
      <c r="A831" s="13"/>
      <c r="B831" s="13"/>
      <c r="C831" s="13"/>
      <c r="D831" s="13"/>
      <c r="E831" s="13"/>
      <c r="F831" s="13"/>
      <c r="L831" s="13"/>
      <c r="N831" s="13"/>
    </row>
    <row r="832" ht="15.75" customHeight="1">
      <c r="A832" s="13"/>
      <c r="B832" s="13"/>
      <c r="C832" s="13"/>
      <c r="D832" s="13"/>
      <c r="E832" s="13"/>
      <c r="F832" s="13"/>
      <c r="L832" s="13"/>
      <c r="N832" s="13"/>
    </row>
    <row r="833" ht="15.75" customHeight="1">
      <c r="A833" s="13"/>
      <c r="B833" s="13"/>
      <c r="C833" s="13"/>
      <c r="D833" s="13"/>
      <c r="E833" s="13"/>
      <c r="F833" s="13"/>
      <c r="L833" s="13"/>
      <c r="N833" s="13"/>
    </row>
    <row r="834" ht="15.75" customHeight="1">
      <c r="A834" s="13"/>
      <c r="B834" s="13"/>
      <c r="C834" s="13"/>
      <c r="D834" s="13"/>
      <c r="E834" s="13"/>
      <c r="F834" s="13"/>
      <c r="L834" s="13"/>
      <c r="N834" s="13"/>
    </row>
    <row r="835" ht="15.75" customHeight="1">
      <c r="A835" s="13"/>
      <c r="B835" s="13"/>
      <c r="C835" s="13"/>
      <c r="D835" s="13"/>
      <c r="E835" s="13"/>
      <c r="F835" s="13"/>
      <c r="L835" s="13"/>
      <c r="N835" s="13"/>
    </row>
    <row r="836" ht="15.75" customHeight="1">
      <c r="A836" s="13"/>
      <c r="B836" s="13"/>
      <c r="C836" s="13"/>
      <c r="D836" s="13"/>
      <c r="E836" s="13"/>
      <c r="F836" s="13"/>
      <c r="L836" s="13"/>
      <c r="N836" s="13"/>
    </row>
    <row r="837" ht="15.75" customHeight="1">
      <c r="A837" s="13"/>
      <c r="B837" s="13"/>
      <c r="C837" s="13"/>
      <c r="D837" s="13"/>
      <c r="E837" s="13"/>
      <c r="F837" s="13"/>
      <c r="L837" s="13"/>
      <c r="N837" s="13"/>
    </row>
    <row r="838" ht="15.75" customHeight="1">
      <c r="A838" s="13"/>
      <c r="B838" s="13"/>
      <c r="C838" s="13"/>
      <c r="D838" s="13"/>
      <c r="E838" s="13"/>
      <c r="F838" s="13"/>
      <c r="L838" s="13"/>
      <c r="N838" s="13"/>
    </row>
    <row r="839" ht="15.75" customHeight="1">
      <c r="A839" s="13"/>
      <c r="B839" s="13"/>
      <c r="C839" s="13"/>
      <c r="D839" s="13"/>
      <c r="E839" s="13"/>
      <c r="F839" s="13"/>
      <c r="L839" s="13"/>
      <c r="N839" s="13"/>
    </row>
    <row r="840" ht="15.75" customHeight="1">
      <c r="A840" s="13"/>
      <c r="B840" s="13"/>
      <c r="C840" s="13"/>
      <c r="D840" s="13"/>
      <c r="E840" s="13"/>
      <c r="F840" s="13"/>
      <c r="L840" s="13"/>
      <c r="N840" s="13"/>
    </row>
    <row r="841" ht="15.75" customHeight="1">
      <c r="A841" s="13"/>
      <c r="B841" s="13"/>
      <c r="C841" s="13"/>
      <c r="D841" s="13"/>
      <c r="E841" s="13"/>
      <c r="F841" s="13"/>
      <c r="L841" s="13"/>
      <c r="N841" s="13"/>
    </row>
    <row r="842" ht="15.75" customHeight="1">
      <c r="A842" s="13"/>
      <c r="B842" s="13"/>
      <c r="C842" s="13"/>
      <c r="D842" s="13"/>
      <c r="E842" s="13"/>
      <c r="F842" s="13"/>
      <c r="L842" s="13"/>
      <c r="N842" s="13"/>
    </row>
    <row r="843" ht="15.75" customHeight="1">
      <c r="A843" s="13"/>
      <c r="B843" s="13"/>
      <c r="C843" s="13"/>
      <c r="D843" s="13"/>
      <c r="E843" s="13"/>
      <c r="F843" s="13"/>
      <c r="L843" s="13"/>
      <c r="N843" s="13"/>
    </row>
    <row r="844" ht="15.75" customHeight="1">
      <c r="A844" s="13"/>
      <c r="B844" s="13"/>
      <c r="C844" s="13"/>
      <c r="D844" s="13"/>
      <c r="E844" s="13"/>
      <c r="F844" s="13"/>
      <c r="L844" s="13"/>
      <c r="N844" s="13"/>
    </row>
    <row r="845" ht="15.75" customHeight="1">
      <c r="A845" s="13"/>
      <c r="B845" s="13"/>
      <c r="C845" s="13"/>
      <c r="D845" s="13"/>
      <c r="E845" s="13"/>
      <c r="F845" s="13"/>
      <c r="L845" s="13"/>
      <c r="N845" s="13"/>
    </row>
    <row r="846" ht="15.75" customHeight="1">
      <c r="A846" s="13"/>
      <c r="B846" s="13"/>
      <c r="C846" s="13"/>
      <c r="D846" s="13"/>
      <c r="E846" s="13"/>
      <c r="F846" s="13"/>
      <c r="L846" s="13"/>
      <c r="N846" s="13"/>
    </row>
    <row r="847" ht="15.75" customHeight="1">
      <c r="A847" s="13"/>
      <c r="B847" s="13"/>
      <c r="C847" s="13"/>
      <c r="D847" s="13"/>
      <c r="E847" s="13"/>
      <c r="F847" s="13"/>
      <c r="L847" s="13"/>
      <c r="N847" s="13"/>
    </row>
    <row r="848" ht="15.75" customHeight="1">
      <c r="A848" s="13"/>
      <c r="B848" s="13"/>
      <c r="C848" s="13"/>
      <c r="D848" s="13"/>
      <c r="E848" s="13"/>
      <c r="F848" s="13"/>
      <c r="L848" s="13"/>
      <c r="N848" s="13"/>
    </row>
    <row r="849" ht="15.75" customHeight="1">
      <c r="A849" s="13"/>
      <c r="B849" s="13"/>
      <c r="C849" s="13"/>
      <c r="D849" s="13"/>
      <c r="E849" s="13"/>
      <c r="F849" s="13"/>
      <c r="L849" s="13"/>
      <c r="N849" s="13"/>
    </row>
    <row r="850" ht="15.75" customHeight="1">
      <c r="A850" s="13"/>
      <c r="B850" s="13"/>
      <c r="C850" s="13"/>
      <c r="D850" s="13"/>
      <c r="E850" s="13"/>
      <c r="F850" s="13"/>
      <c r="L850" s="13"/>
      <c r="N850" s="13"/>
    </row>
    <row r="851" ht="15.75" customHeight="1">
      <c r="A851" s="13"/>
      <c r="B851" s="13"/>
      <c r="C851" s="13"/>
      <c r="D851" s="13"/>
      <c r="E851" s="13"/>
      <c r="F851" s="13"/>
      <c r="L851" s="13"/>
      <c r="N851" s="13"/>
    </row>
    <row r="852" ht="15.75" customHeight="1">
      <c r="A852" s="13"/>
      <c r="B852" s="13"/>
      <c r="C852" s="13"/>
      <c r="D852" s="13"/>
      <c r="E852" s="13"/>
      <c r="F852" s="13"/>
      <c r="L852" s="13"/>
      <c r="N852" s="13"/>
    </row>
    <row r="853" ht="15.75" customHeight="1">
      <c r="A853" s="13"/>
      <c r="B853" s="13"/>
      <c r="C853" s="13"/>
      <c r="D853" s="13"/>
      <c r="E853" s="13"/>
      <c r="F853" s="13"/>
      <c r="L853" s="13"/>
      <c r="N853" s="13"/>
    </row>
    <row r="854" ht="15.75" customHeight="1">
      <c r="A854" s="13"/>
      <c r="B854" s="13"/>
      <c r="C854" s="13"/>
      <c r="D854" s="13"/>
      <c r="E854" s="13"/>
      <c r="F854" s="13"/>
      <c r="L854" s="13"/>
      <c r="N854" s="13"/>
    </row>
    <row r="855" ht="15.75" customHeight="1">
      <c r="A855" s="13"/>
      <c r="B855" s="13"/>
      <c r="C855" s="13"/>
      <c r="D855" s="13"/>
      <c r="E855" s="13"/>
      <c r="F855" s="13"/>
      <c r="L855" s="13"/>
      <c r="N855" s="13"/>
    </row>
    <row r="856" ht="15.75" customHeight="1">
      <c r="A856" s="13"/>
      <c r="B856" s="13"/>
      <c r="C856" s="13"/>
      <c r="D856" s="13"/>
      <c r="E856" s="13"/>
      <c r="F856" s="13"/>
      <c r="L856" s="13"/>
      <c r="N856" s="13"/>
    </row>
    <row r="857" ht="15.75" customHeight="1">
      <c r="A857" s="13"/>
      <c r="B857" s="13"/>
      <c r="C857" s="13"/>
      <c r="D857" s="13"/>
      <c r="E857" s="13"/>
      <c r="F857" s="13"/>
      <c r="L857" s="13"/>
      <c r="N857" s="13"/>
    </row>
    <row r="858" ht="15.75" customHeight="1">
      <c r="A858" s="13"/>
      <c r="B858" s="13"/>
      <c r="C858" s="13"/>
      <c r="D858" s="13"/>
      <c r="E858" s="13"/>
      <c r="F858" s="13"/>
      <c r="L858" s="13"/>
      <c r="N858" s="13"/>
    </row>
    <row r="859" ht="15.75" customHeight="1">
      <c r="A859" s="13"/>
      <c r="B859" s="13"/>
      <c r="C859" s="13"/>
      <c r="D859" s="13"/>
      <c r="E859" s="13"/>
      <c r="F859" s="13"/>
      <c r="L859" s="13"/>
      <c r="N859" s="13"/>
    </row>
    <row r="860" ht="15.75" customHeight="1">
      <c r="A860" s="13"/>
      <c r="B860" s="13"/>
      <c r="C860" s="13"/>
      <c r="D860" s="13"/>
      <c r="E860" s="13"/>
      <c r="F860" s="13"/>
      <c r="L860" s="13"/>
      <c r="N860" s="13"/>
    </row>
    <row r="861" ht="15.75" customHeight="1">
      <c r="A861" s="13"/>
      <c r="B861" s="13"/>
      <c r="C861" s="13"/>
      <c r="D861" s="13"/>
      <c r="E861" s="13"/>
      <c r="F861" s="13"/>
      <c r="L861" s="13"/>
      <c r="N861" s="13"/>
    </row>
    <row r="862" ht="15.75" customHeight="1">
      <c r="A862" s="13"/>
      <c r="B862" s="13"/>
      <c r="C862" s="13"/>
      <c r="D862" s="13"/>
      <c r="E862" s="13"/>
      <c r="F862" s="13"/>
      <c r="L862" s="13"/>
      <c r="N862" s="13"/>
    </row>
    <row r="863" ht="15.75" customHeight="1">
      <c r="A863" s="13"/>
      <c r="B863" s="13"/>
      <c r="C863" s="13"/>
      <c r="D863" s="13"/>
      <c r="E863" s="13"/>
      <c r="F863" s="13"/>
      <c r="L863" s="13"/>
      <c r="N863" s="13"/>
    </row>
    <row r="864" ht="15.75" customHeight="1">
      <c r="A864" s="13"/>
      <c r="B864" s="13"/>
      <c r="C864" s="13"/>
      <c r="D864" s="13"/>
      <c r="E864" s="13"/>
      <c r="F864" s="13"/>
      <c r="L864" s="13"/>
      <c r="N864" s="13"/>
    </row>
    <row r="865" ht="15.75" customHeight="1">
      <c r="A865" s="13"/>
      <c r="B865" s="13"/>
      <c r="C865" s="13"/>
      <c r="D865" s="13"/>
      <c r="E865" s="13"/>
      <c r="F865" s="13"/>
      <c r="L865" s="13"/>
      <c r="N865" s="13"/>
    </row>
    <row r="866" ht="15.75" customHeight="1">
      <c r="A866" s="13"/>
      <c r="B866" s="13"/>
      <c r="C866" s="13"/>
      <c r="D866" s="13"/>
      <c r="E866" s="13"/>
      <c r="F866" s="13"/>
      <c r="L866" s="13"/>
      <c r="N866" s="13"/>
    </row>
    <row r="867" ht="15.75" customHeight="1">
      <c r="A867" s="13"/>
      <c r="B867" s="13"/>
      <c r="C867" s="13"/>
      <c r="D867" s="13"/>
      <c r="E867" s="13"/>
      <c r="F867" s="13"/>
      <c r="L867" s="13"/>
      <c r="N867" s="13"/>
    </row>
    <row r="868" ht="15.75" customHeight="1">
      <c r="A868" s="13"/>
      <c r="B868" s="13"/>
      <c r="C868" s="13"/>
      <c r="D868" s="13"/>
      <c r="E868" s="13"/>
      <c r="F868" s="13"/>
      <c r="L868" s="13"/>
      <c r="N868" s="13"/>
    </row>
    <row r="869" ht="15.75" customHeight="1">
      <c r="A869" s="13"/>
      <c r="B869" s="13"/>
      <c r="C869" s="13"/>
      <c r="D869" s="13"/>
      <c r="E869" s="13"/>
      <c r="F869" s="13"/>
      <c r="L869" s="13"/>
      <c r="N869" s="13"/>
    </row>
    <row r="870" ht="15.75" customHeight="1">
      <c r="A870" s="13"/>
      <c r="B870" s="13"/>
      <c r="C870" s="13"/>
      <c r="D870" s="13"/>
      <c r="E870" s="13"/>
      <c r="F870" s="13"/>
      <c r="L870" s="13"/>
      <c r="N870" s="13"/>
    </row>
    <row r="871" ht="15.75" customHeight="1">
      <c r="A871" s="13"/>
      <c r="B871" s="13"/>
      <c r="C871" s="13"/>
      <c r="D871" s="13"/>
      <c r="E871" s="13"/>
      <c r="F871" s="13"/>
      <c r="L871" s="13"/>
      <c r="N871" s="13"/>
    </row>
    <row r="872" ht="15.75" customHeight="1">
      <c r="A872" s="13"/>
      <c r="B872" s="13"/>
      <c r="C872" s="13"/>
      <c r="D872" s="13"/>
      <c r="E872" s="13"/>
      <c r="F872" s="13"/>
      <c r="L872" s="13"/>
      <c r="N872" s="13"/>
    </row>
    <row r="873" ht="15.75" customHeight="1">
      <c r="A873" s="13"/>
      <c r="B873" s="13"/>
      <c r="C873" s="13"/>
      <c r="D873" s="13"/>
      <c r="E873" s="13"/>
      <c r="F873" s="13"/>
      <c r="L873" s="13"/>
      <c r="N873" s="13"/>
    </row>
    <row r="874" ht="15.75" customHeight="1">
      <c r="A874" s="13"/>
      <c r="B874" s="13"/>
      <c r="C874" s="13"/>
      <c r="D874" s="13"/>
      <c r="E874" s="13"/>
      <c r="F874" s="13"/>
      <c r="L874" s="13"/>
      <c r="N874" s="13"/>
    </row>
    <row r="875" ht="15.75" customHeight="1">
      <c r="A875" s="13"/>
      <c r="B875" s="13"/>
      <c r="C875" s="13"/>
      <c r="D875" s="13"/>
      <c r="E875" s="13"/>
      <c r="F875" s="13"/>
      <c r="L875" s="13"/>
      <c r="N875" s="13"/>
    </row>
    <row r="876" ht="15.75" customHeight="1">
      <c r="A876" s="13"/>
      <c r="B876" s="13"/>
      <c r="C876" s="13"/>
      <c r="D876" s="13"/>
      <c r="E876" s="13"/>
      <c r="F876" s="13"/>
      <c r="L876" s="13"/>
      <c r="N876" s="13"/>
    </row>
    <row r="877" ht="15.75" customHeight="1">
      <c r="A877" s="13"/>
      <c r="B877" s="13"/>
      <c r="C877" s="13"/>
      <c r="D877" s="13"/>
      <c r="E877" s="13"/>
      <c r="F877" s="13"/>
      <c r="L877" s="13"/>
      <c r="N877" s="13"/>
    </row>
    <row r="878" ht="15.75" customHeight="1">
      <c r="A878" s="13"/>
      <c r="B878" s="13"/>
      <c r="C878" s="13"/>
      <c r="D878" s="13"/>
      <c r="E878" s="13"/>
      <c r="F878" s="13"/>
      <c r="L878" s="13"/>
      <c r="N878" s="13"/>
    </row>
    <row r="879" ht="15.75" customHeight="1">
      <c r="A879" s="13"/>
      <c r="B879" s="13"/>
      <c r="C879" s="13"/>
      <c r="D879" s="13"/>
      <c r="E879" s="13"/>
      <c r="F879" s="13"/>
      <c r="L879" s="13"/>
      <c r="N879" s="13"/>
    </row>
    <row r="880" ht="15.75" customHeight="1">
      <c r="A880" s="13"/>
      <c r="B880" s="13"/>
      <c r="C880" s="13"/>
      <c r="D880" s="13"/>
      <c r="E880" s="13"/>
      <c r="F880" s="13"/>
      <c r="L880" s="13"/>
      <c r="N880" s="13"/>
    </row>
    <row r="881" ht="15.75" customHeight="1">
      <c r="A881" s="13"/>
      <c r="B881" s="13"/>
      <c r="C881" s="13"/>
      <c r="D881" s="13"/>
      <c r="E881" s="13"/>
      <c r="F881" s="13"/>
      <c r="L881" s="13"/>
      <c r="N881" s="13"/>
    </row>
    <row r="882" ht="15.75" customHeight="1">
      <c r="A882" s="13"/>
      <c r="B882" s="13"/>
      <c r="C882" s="13"/>
      <c r="D882" s="13"/>
      <c r="E882" s="13"/>
      <c r="F882" s="13"/>
      <c r="L882" s="13"/>
      <c r="N882" s="13"/>
    </row>
    <row r="883" ht="15.75" customHeight="1">
      <c r="A883" s="13"/>
      <c r="B883" s="13"/>
      <c r="C883" s="13"/>
      <c r="D883" s="13"/>
      <c r="E883" s="13"/>
      <c r="F883" s="13"/>
      <c r="L883" s="13"/>
      <c r="N883" s="13"/>
    </row>
    <row r="884" ht="15.75" customHeight="1">
      <c r="A884" s="13"/>
      <c r="B884" s="13"/>
      <c r="C884" s="13"/>
      <c r="D884" s="13"/>
      <c r="E884" s="13"/>
      <c r="F884" s="13"/>
      <c r="L884" s="13"/>
      <c r="N884" s="13"/>
    </row>
    <row r="885" ht="15.75" customHeight="1">
      <c r="A885" s="13"/>
      <c r="B885" s="13"/>
      <c r="C885" s="13"/>
      <c r="D885" s="13"/>
      <c r="E885" s="13"/>
      <c r="F885" s="13"/>
      <c r="L885" s="13"/>
      <c r="N885" s="13"/>
    </row>
    <row r="886" ht="15.75" customHeight="1">
      <c r="A886" s="13"/>
      <c r="B886" s="13"/>
      <c r="C886" s="13"/>
      <c r="D886" s="13"/>
      <c r="E886" s="13"/>
      <c r="F886" s="13"/>
      <c r="L886" s="13"/>
      <c r="N886" s="13"/>
    </row>
    <row r="887" ht="15.75" customHeight="1">
      <c r="A887" s="13"/>
      <c r="B887" s="13"/>
      <c r="C887" s="13"/>
      <c r="D887" s="13"/>
      <c r="E887" s="13"/>
      <c r="F887" s="13"/>
      <c r="L887" s="13"/>
      <c r="N887" s="13"/>
    </row>
    <row r="888" ht="15.75" customHeight="1">
      <c r="A888" s="13"/>
      <c r="B888" s="13"/>
      <c r="C888" s="13"/>
      <c r="D888" s="13"/>
      <c r="E888" s="13"/>
      <c r="F888" s="13"/>
      <c r="L888" s="13"/>
      <c r="N888" s="13"/>
    </row>
    <row r="889" ht="15.75" customHeight="1">
      <c r="A889" s="13"/>
      <c r="B889" s="13"/>
      <c r="C889" s="13"/>
      <c r="D889" s="13"/>
      <c r="E889" s="13"/>
      <c r="F889" s="13"/>
      <c r="L889" s="13"/>
      <c r="N889" s="13"/>
    </row>
    <row r="890" ht="15.75" customHeight="1">
      <c r="A890" s="13"/>
      <c r="B890" s="13"/>
      <c r="C890" s="13"/>
      <c r="D890" s="13"/>
      <c r="E890" s="13"/>
      <c r="F890" s="13"/>
      <c r="L890" s="13"/>
      <c r="N890" s="13"/>
    </row>
    <row r="891" ht="15.75" customHeight="1">
      <c r="A891" s="13"/>
      <c r="B891" s="13"/>
      <c r="C891" s="13"/>
      <c r="D891" s="13"/>
      <c r="E891" s="13"/>
      <c r="F891" s="13"/>
      <c r="L891" s="13"/>
      <c r="N891" s="13"/>
    </row>
    <row r="892" ht="15.75" customHeight="1">
      <c r="A892" s="13"/>
      <c r="B892" s="13"/>
      <c r="C892" s="13"/>
      <c r="D892" s="13"/>
      <c r="E892" s="13"/>
      <c r="F892" s="13"/>
      <c r="L892" s="13"/>
      <c r="N892" s="13"/>
    </row>
    <row r="893" ht="15.75" customHeight="1">
      <c r="A893" s="13"/>
      <c r="B893" s="13"/>
      <c r="C893" s="13"/>
      <c r="D893" s="13"/>
      <c r="E893" s="13"/>
      <c r="F893" s="13"/>
      <c r="L893" s="13"/>
      <c r="N893" s="13"/>
    </row>
    <row r="894" ht="15.75" customHeight="1">
      <c r="A894" s="13"/>
      <c r="B894" s="13"/>
      <c r="C894" s="13"/>
      <c r="D894" s="13"/>
      <c r="E894" s="13"/>
      <c r="F894" s="13"/>
      <c r="L894" s="13"/>
      <c r="N894" s="13"/>
    </row>
    <row r="895" ht="15.75" customHeight="1">
      <c r="A895" s="13"/>
      <c r="B895" s="13"/>
      <c r="C895" s="13"/>
      <c r="D895" s="13"/>
      <c r="E895" s="13"/>
      <c r="F895" s="13"/>
      <c r="L895" s="13"/>
      <c r="N895" s="13"/>
    </row>
    <row r="896" ht="15.75" customHeight="1">
      <c r="A896" s="13"/>
      <c r="B896" s="13"/>
      <c r="C896" s="13"/>
      <c r="D896" s="13"/>
      <c r="E896" s="13"/>
      <c r="F896" s="13"/>
      <c r="L896" s="13"/>
      <c r="N896" s="13"/>
    </row>
    <row r="897" ht="15.75" customHeight="1">
      <c r="A897" s="13"/>
      <c r="B897" s="13"/>
      <c r="C897" s="13"/>
      <c r="D897" s="13"/>
      <c r="E897" s="13"/>
      <c r="F897" s="13"/>
      <c r="L897" s="13"/>
      <c r="N897" s="13"/>
    </row>
    <row r="898" ht="15.75" customHeight="1">
      <c r="A898" s="13"/>
      <c r="B898" s="13"/>
      <c r="C898" s="13"/>
      <c r="D898" s="13"/>
      <c r="E898" s="13"/>
      <c r="F898" s="13"/>
      <c r="L898" s="13"/>
      <c r="N898" s="13"/>
    </row>
    <row r="899" ht="15.75" customHeight="1">
      <c r="A899" s="13"/>
      <c r="B899" s="13"/>
      <c r="C899" s="13"/>
      <c r="D899" s="13"/>
      <c r="E899" s="13"/>
      <c r="F899" s="13"/>
      <c r="L899" s="13"/>
      <c r="N899" s="13"/>
    </row>
    <row r="900" ht="15.75" customHeight="1">
      <c r="A900" s="13"/>
      <c r="B900" s="13"/>
      <c r="C900" s="13"/>
      <c r="D900" s="13"/>
      <c r="E900" s="13"/>
      <c r="F900" s="13"/>
      <c r="L900" s="13"/>
      <c r="N900" s="13"/>
    </row>
    <row r="901" ht="15.75" customHeight="1">
      <c r="A901" s="13"/>
      <c r="B901" s="13"/>
      <c r="C901" s="13"/>
      <c r="D901" s="13"/>
      <c r="E901" s="13"/>
      <c r="F901" s="13"/>
      <c r="L901" s="13"/>
      <c r="N901" s="13"/>
    </row>
    <row r="902" ht="15.75" customHeight="1">
      <c r="A902" s="13"/>
      <c r="B902" s="13"/>
      <c r="C902" s="13"/>
      <c r="D902" s="13"/>
      <c r="E902" s="13"/>
      <c r="F902" s="13"/>
      <c r="L902" s="13"/>
      <c r="N902" s="13"/>
    </row>
    <row r="903" ht="15.75" customHeight="1">
      <c r="A903" s="13"/>
      <c r="B903" s="13"/>
      <c r="C903" s="13"/>
      <c r="D903" s="13"/>
      <c r="E903" s="13"/>
      <c r="F903" s="13"/>
      <c r="L903" s="13"/>
      <c r="N903" s="13"/>
    </row>
    <row r="904" ht="15.75" customHeight="1">
      <c r="A904" s="13"/>
      <c r="B904" s="13"/>
      <c r="C904" s="13"/>
      <c r="D904" s="13"/>
      <c r="E904" s="13"/>
      <c r="F904" s="13"/>
      <c r="L904" s="13"/>
      <c r="N904" s="13"/>
    </row>
    <row r="905" ht="15.75" customHeight="1">
      <c r="A905" s="13"/>
      <c r="B905" s="13"/>
      <c r="C905" s="13"/>
      <c r="D905" s="13"/>
      <c r="E905" s="13"/>
      <c r="F905" s="13"/>
      <c r="L905" s="13"/>
      <c r="N905" s="13"/>
    </row>
    <row r="906" ht="15.75" customHeight="1">
      <c r="A906" s="13"/>
      <c r="B906" s="13"/>
      <c r="C906" s="13"/>
      <c r="D906" s="13"/>
      <c r="E906" s="13"/>
      <c r="F906" s="13"/>
      <c r="L906" s="13"/>
      <c r="N906" s="13"/>
    </row>
    <row r="907" ht="15.75" customHeight="1">
      <c r="A907" s="13"/>
      <c r="B907" s="13"/>
      <c r="C907" s="13"/>
      <c r="D907" s="13"/>
      <c r="E907" s="13"/>
      <c r="F907" s="13"/>
      <c r="L907" s="13"/>
      <c r="N907" s="13"/>
    </row>
    <row r="908" ht="15.75" customHeight="1">
      <c r="A908" s="13"/>
      <c r="B908" s="13"/>
      <c r="C908" s="13"/>
      <c r="D908" s="13"/>
      <c r="E908" s="13"/>
      <c r="F908" s="13"/>
      <c r="L908" s="13"/>
      <c r="N908" s="13"/>
    </row>
    <row r="909" ht="15.75" customHeight="1">
      <c r="A909" s="13"/>
      <c r="B909" s="13"/>
      <c r="C909" s="13"/>
      <c r="D909" s="13"/>
      <c r="E909" s="13"/>
      <c r="F909" s="13"/>
      <c r="L909" s="13"/>
      <c r="N909" s="13"/>
    </row>
    <row r="910" ht="15.75" customHeight="1">
      <c r="A910" s="13"/>
      <c r="B910" s="13"/>
      <c r="C910" s="13"/>
      <c r="D910" s="13"/>
      <c r="E910" s="13"/>
      <c r="F910" s="13"/>
      <c r="L910" s="13"/>
      <c r="N910" s="13"/>
    </row>
    <row r="911" ht="15.75" customHeight="1">
      <c r="A911" s="13"/>
      <c r="B911" s="13"/>
      <c r="C911" s="13"/>
      <c r="D911" s="13"/>
      <c r="E911" s="13"/>
      <c r="F911" s="13"/>
      <c r="L911" s="13"/>
      <c r="N911" s="13"/>
    </row>
    <row r="912" ht="15.75" customHeight="1">
      <c r="A912" s="13"/>
      <c r="B912" s="13"/>
      <c r="C912" s="13"/>
      <c r="D912" s="13"/>
      <c r="E912" s="13"/>
      <c r="F912" s="13"/>
      <c r="L912" s="13"/>
      <c r="N912" s="13"/>
    </row>
    <row r="913" ht="15.75" customHeight="1">
      <c r="A913" s="13"/>
      <c r="B913" s="13"/>
      <c r="C913" s="13"/>
      <c r="D913" s="13"/>
      <c r="E913" s="13"/>
      <c r="F913" s="13"/>
      <c r="L913" s="13"/>
      <c r="N913" s="13"/>
    </row>
    <row r="914" ht="15.75" customHeight="1">
      <c r="A914" s="13"/>
      <c r="B914" s="13"/>
      <c r="C914" s="13"/>
      <c r="D914" s="13"/>
      <c r="E914" s="13"/>
      <c r="F914" s="13"/>
      <c r="L914" s="13"/>
      <c r="N914" s="13"/>
    </row>
    <row r="915" ht="15.75" customHeight="1">
      <c r="A915" s="13"/>
      <c r="B915" s="13"/>
      <c r="C915" s="13"/>
      <c r="D915" s="13"/>
      <c r="E915" s="13"/>
      <c r="F915" s="13"/>
      <c r="L915" s="13"/>
      <c r="N915" s="13"/>
    </row>
    <row r="916" ht="15.75" customHeight="1">
      <c r="A916" s="13"/>
      <c r="B916" s="13"/>
      <c r="C916" s="13"/>
      <c r="D916" s="13"/>
      <c r="E916" s="13"/>
      <c r="F916" s="13"/>
      <c r="L916" s="13"/>
      <c r="N916" s="13"/>
    </row>
    <row r="917" ht="15.75" customHeight="1">
      <c r="A917" s="13"/>
      <c r="B917" s="13"/>
      <c r="C917" s="13"/>
      <c r="D917" s="13"/>
      <c r="E917" s="13"/>
      <c r="F917" s="13"/>
      <c r="L917" s="13"/>
      <c r="N917" s="13"/>
    </row>
    <row r="918" ht="15.75" customHeight="1">
      <c r="A918" s="13"/>
      <c r="B918" s="13"/>
      <c r="C918" s="13"/>
      <c r="D918" s="13"/>
      <c r="E918" s="13"/>
      <c r="F918" s="13"/>
      <c r="L918" s="13"/>
      <c r="N918" s="13"/>
    </row>
    <row r="919" ht="15.75" customHeight="1">
      <c r="A919" s="13"/>
      <c r="B919" s="13"/>
      <c r="C919" s="13"/>
      <c r="D919" s="13"/>
      <c r="E919" s="13"/>
      <c r="F919" s="13"/>
      <c r="L919" s="13"/>
      <c r="N919" s="13"/>
    </row>
    <row r="920" ht="15.75" customHeight="1">
      <c r="A920" s="13"/>
      <c r="B920" s="13"/>
      <c r="C920" s="13"/>
      <c r="D920" s="13"/>
      <c r="E920" s="13"/>
      <c r="F920" s="13"/>
      <c r="L920" s="13"/>
      <c r="N920" s="13"/>
    </row>
    <row r="921" ht="15.75" customHeight="1">
      <c r="A921" s="13"/>
      <c r="B921" s="13"/>
      <c r="C921" s="13"/>
      <c r="D921" s="13"/>
      <c r="E921" s="13"/>
      <c r="F921" s="13"/>
      <c r="L921" s="13"/>
      <c r="N921" s="13"/>
    </row>
    <row r="922" ht="15.75" customHeight="1">
      <c r="A922" s="13"/>
      <c r="B922" s="13"/>
      <c r="C922" s="13"/>
      <c r="D922" s="13"/>
      <c r="E922" s="13"/>
      <c r="F922" s="13"/>
      <c r="L922" s="13"/>
      <c r="N922" s="13"/>
    </row>
    <row r="923" ht="15.75" customHeight="1">
      <c r="A923" s="13"/>
      <c r="B923" s="13"/>
      <c r="C923" s="13"/>
      <c r="D923" s="13"/>
      <c r="E923" s="13"/>
      <c r="F923" s="13"/>
      <c r="L923" s="13"/>
      <c r="N923" s="13"/>
    </row>
    <row r="924" ht="15.75" customHeight="1">
      <c r="A924" s="13"/>
      <c r="B924" s="13"/>
      <c r="C924" s="13"/>
      <c r="D924" s="13"/>
      <c r="E924" s="13"/>
      <c r="F924" s="13"/>
      <c r="L924" s="13"/>
      <c r="N924" s="13"/>
    </row>
    <row r="925" ht="15.75" customHeight="1">
      <c r="A925" s="13"/>
      <c r="B925" s="13"/>
      <c r="C925" s="13"/>
      <c r="D925" s="13"/>
      <c r="E925" s="13"/>
      <c r="F925" s="13"/>
      <c r="L925" s="13"/>
      <c r="N925" s="13"/>
    </row>
    <row r="926" ht="15.75" customHeight="1">
      <c r="A926" s="13"/>
      <c r="B926" s="13"/>
      <c r="C926" s="13"/>
      <c r="D926" s="13"/>
      <c r="E926" s="13"/>
      <c r="F926" s="13"/>
      <c r="L926" s="13"/>
      <c r="N926" s="13"/>
    </row>
    <row r="927" ht="15.75" customHeight="1">
      <c r="A927" s="13"/>
      <c r="B927" s="13"/>
      <c r="C927" s="13"/>
      <c r="D927" s="13"/>
      <c r="E927" s="13"/>
      <c r="F927" s="13"/>
      <c r="L927" s="13"/>
      <c r="N927" s="13"/>
    </row>
    <row r="928" ht="15.75" customHeight="1">
      <c r="A928" s="13"/>
      <c r="B928" s="13"/>
      <c r="C928" s="13"/>
      <c r="D928" s="13"/>
      <c r="E928" s="13"/>
      <c r="F928" s="13"/>
      <c r="L928" s="13"/>
      <c r="N928" s="13"/>
    </row>
    <row r="929" ht="15.75" customHeight="1">
      <c r="A929" s="13"/>
      <c r="B929" s="13"/>
      <c r="C929" s="13"/>
      <c r="D929" s="13"/>
      <c r="E929" s="13"/>
      <c r="F929" s="13"/>
      <c r="L929" s="13"/>
      <c r="N929" s="13"/>
    </row>
    <row r="930" ht="15.75" customHeight="1">
      <c r="A930" s="13"/>
      <c r="B930" s="13"/>
      <c r="C930" s="13"/>
      <c r="D930" s="13"/>
      <c r="E930" s="13"/>
      <c r="F930" s="13"/>
      <c r="L930" s="13"/>
      <c r="N930" s="13"/>
    </row>
    <row r="931" ht="15.75" customHeight="1">
      <c r="A931" s="13"/>
      <c r="B931" s="13"/>
      <c r="C931" s="13"/>
      <c r="D931" s="13"/>
      <c r="E931" s="13"/>
      <c r="F931" s="13"/>
      <c r="L931" s="13"/>
      <c r="N931" s="13"/>
    </row>
    <row r="932" ht="15.75" customHeight="1">
      <c r="A932" s="13"/>
      <c r="B932" s="13"/>
      <c r="C932" s="13"/>
      <c r="D932" s="13"/>
      <c r="E932" s="13"/>
      <c r="F932" s="13"/>
      <c r="L932" s="13"/>
      <c r="N932" s="13"/>
    </row>
    <row r="933" ht="15.75" customHeight="1">
      <c r="A933" s="13"/>
      <c r="B933" s="13"/>
      <c r="C933" s="13"/>
      <c r="D933" s="13"/>
      <c r="E933" s="13"/>
      <c r="F933" s="13"/>
      <c r="L933" s="13"/>
      <c r="N933" s="13"/>
    </row>
    <row r="934" ht="15.75" customHeight="1">
      <c r="A934" s="13"/>
      <c r="B934" s="13"/>
      <c r="C934" s="13"/>
      <c r="D934" s="13"/>
      <c r="E934" s="13"/>
      <c r="F934" s="13"/>
      <c r="L934" s="13"/>
      <c r="N934" s="13"/>
    </row>
    <row r="935" ht="15.75" customHeight="1">
      <c r="A935" s="13"/>
      <c r="B935" s="13"/>
      <c r="C935" s="13"/>
      <c r="D935" s="13"/>
      <c r="E935" s="13"/>
      <c r="F935" s="13"/>
      <c r="L935" s="13"/>
      <c r="N935" s="13"/>
    </row>
    <row r="936" ht="15.75" customHeight="1">
      <c r="A936" s="13"/>
      <c r="B936" s="13"/>
      <c r="C936" s="13"/>
      <c r="D936" s="13"/>
      <c r="E936" s="13"/>
      <c r="F936" s="13"/>
      <c r="L936" s="13"/>
      <c r="N936" s="13"/>
    </row>
    <row r="937" ht="15.75" customHeight="1">
      <c r="A937" s="13"/>
      <c r="B937" s="13"/>
      <c r="C937" s="13"/>
      <c r="D937" s="13"/>
      <c r="E937" s="13"/>
      <c r="F937" s="13"/>
      <c r="L937" s="13"/>
      <c r="N937" s="13"/>
    </row>
    <row r="938" ht="15.75" customHeight="1">
      <c r="A938" s="13"/>
      <c r="B938" s="13"/>
      <c r="C938" s="13"/>
      <c r="D938" s="13"/>
      <c r="E938" s="13"/>
      <c r="F938" s="13"/>
      <c r="L938" s="13"/>
      <c r="N938" s="13"/>
    </row>
    <row r="939" ht="15.75" customHeight="1">
      <c r="A939" s="13"/>
      <c r="B939" s="13"/>
      <c r="C939" s="13"/>
      <c r="D939" s="13"/>
      <c r="E939" s="13"/>
      <c r="F939" s="13"/>
      <c r="L939" s="13"/>
      <c r="N939" s="13"/>
    </row>
    <row r="940" ht="15.75" customHeight="1">
      <c r="A940" s="13"/>
      <c r="B940" s="13"/>
      <c r="C940" s="13"/>
      <c r="D940" s="13"/>
      <c r="E940" s="13"/>
      <c r="F940" s="13"/>
      <c r="L940" s="13"/>
      <c r="N940" s="13"/>
    </row>
    <row r="941" ht="15.75" customHeight="1">
      <c r="A941" s="13"/>
      <c r="B941" s="13"/>
      <c r="C941" s="13"/>
      <c r="D941" s="13"/>
      <c r="E941" s="13"/>
      <c r="F941" s="13"/>
      <c r="L941" s="13"/>
      <c r="N941" s="13"/>
    </row>
    <row r="942" ht="15.75" customHeight="1">
      <c r="A942" s="13"/>
      <c r="B942" s="13"/>
      <c r="C942" s="13"/>
      <c r="D942" s="13"/>
      <c r="E942" s="13"/>
      <c r="F942" s="13"/>
      <c r="L942" s="13"/>
      <c r="N942" s="13"/>
    </row>
    <row r="943" ht="15.75" customHeight="1">
      <c r="A943" s="13"/>
      <c r="B943" s="13"/>
      <c r="C943" s="13"/>
      <c r="D943" s="13"/>
      <c r="E943" s="13"/>
      <c r="F943" s="13"/>
      <c r="L943" s="13"/>
      <c r="N943" s="13"/>
    </row>
    <row r="944" ht="15.75" customHeight="1">
      <c r="A944" s="13"/>
      <c r="B944" s="13"/>
      <c r="C944" s="13"/>
      <c r="D944" s="13"/>
      <c r="E944" s="13"/>
      <c r="F944" s="13"/>
      <c r="L944" s="13"/>
      <c r="N944" s="13"/>
    </row>
    <row r="945" ht="15.75" customHeight="1">
      <c r="A945" s="13"/>
      <c r="B945" s="13"/>
      <c r="C945" s="13"/>
      <c r="D945" s="13"/>
      <c r="E945" s="13"/>
      <c r="F945" s="13"/>
      <c r="L945" s="13"/>
      <c r="N945" s="13"/>
    </row>
    <row r="946" ht="15.75" customHeight="1">
      <c r="A946" s="13"/>
      <c r="B946" s="13"/>
      <c r="C946" s="13"/>
      <c r="D946" s="13"/>
      <c r="E946" s="13"/>
      <c r="F946" s="13"/>
      <c r="L946" s="13"/>
      <c r="N946" s="13"/>
    </row>
    <row r="947" ht="15.75" customHeight="1">
      <c r="A947" s="13"/>
      <c r="B947" s="13"/>
      <c r="C947" s="13"/>
      <c r="D947" s="13"/>
      <c r="E947" s="13"/>
      <c r="F947" s="13"/>
      <c r="L947" s="13"/>
      <c r="N947" s="13"/>
    </row>
    <row r="948" ht="15.75" customHeight="1">
      <c r="A948" s="13"/>
      <c r="B948" s="13"/>
      <c r="C948" s="13"/>
      <c r="D948" s="13"/>
      <c r="E948" s="13"/>
      <c r="F948" s="13"/>
      <c r="L948" s="13"/>
      <c r="N948" s="13"/>
    </row>
    <row r="949" ht="15.75" customHeight="1">
      <c r="A949" s="13"/>
      <c r="B949" s="13"/>
      <c r="C949" s="13"/>
      <c r="D949" s="13"/>
      <c r="E949" s="13"/>
      <c r="F949" s="13"/>
      <c r="L949" s="13"/>
      <c r="N949" s="13"/>
    </row>
    <row r="950" ht="15.75" customHeight="1">
      <c r="A950" s="13"/>
      <c r="B950" s="13"/>
      <c r="C950" s="13"/>
      <c r="D950" s="13"/>
      <c r="E950" s="13"/>
      <c r="F950" s="13"/>
      <c r="L950" s="13"/>
      <c r="N950" s="13"/>
    </row>
    <row r="951" ht="15.75" customHeight="1">
      <c r="A951" s="13"/>
      <c r="B951" s="13"/>
      <c r="C951" s="13"/>
      <c r="D951" s="13"/>
      <c r="E951" s="13"/>
      <c r="F951" s="13"/>
      <c r="L951" s="13"/>
      <c r="N951" s="13"/>
    </row>
    <row r="952" ht="15.75" customHeight="1">
      <c r="A952" s="13"/>
      <c r="B952" s="13"/>
      <c r="C952" s="13"/>
      <c r="D952" s="13"/>
      <c r="E952" s="13"/>
      <c r="F952" s="13"/>
      <c r="L952" s="13"/>
      <c r="N952" s="13"/>
    </row>
    <row r="953" ht="15.75" customHeight="1">
      <c r="A953" s="13"/>
      <c r="B953" s="13"/>
      <c r="C953" s="13"/>
      <c r="D953" s="13"/>
      <c r="E953" s="13"/>
      <c r="F953" s="13"/>
      <c r="L953" s="13"/>
      <c r="N953" s="13"/>
    </row>
    <row r="954" ht="15.75" customHeight="1">
      <c r="A954" s="13"/>
      <c r="B954" s="13"/>
      <c r="C954" s="13"/>
      <c r="D954" s="13"/>
      <c r="E954" s="13"/>
      <c r="F954" s="13"/>
      <c r="L954" s="13"/>
      <c r="N954" s="13"/>
    </row>
    <row r="955" ht="15.75" customHeight="1">
      <c r="A955" s="13"/>
      <c r="B955" s="13"/>
      <c r="C955" s="13"/>
      <c r="D955" s="13"/>
      <c r="E955" s="13"/>
      <c r="F955" s="13"/>
      <c r="L955" s="13"/>
      <c r="N955" s="13"/>
    </row>
    <row r="956" ht="15.75" customHeight="1">
      <c r="A956" s="13"/>
      <c r="B956" s="13"/>
      <c r="C956" s="13"/>
      <c r="D956" s="13"/>
      <c r="E956" s="13"/>
      <c r="F956" s="13"/>
      <c r="L956" s="13"/>
      <c r="N956" s="13"/>
    </row>
    <row r="957" ht="15.75" customHeight="1">
      <c r="A957" s="13"/>
      <c r="B957" s="13"/>
      <c r="C957" s="13"/>
      <c r="D957" s="13"/>
      <c r="E957" s="13"/>
      <c r="F957" s="13"/>
      <c r="L957" s="13"/>
      <c r="N957" s="13"/>
    </row>
    <row r="958" ht="15.75" customHeight="1">
      <c r="A958" s="13"/>
      <c r="B958" s="13"/>
      <c r="C958" s="13"/>
      <c r="D958" s="13"/>
      <c r="E958" s="13"/>
      <c r="F958" s="13"/>
      <c r="L958" s="13"/>
      <c r="N958" s="13"/>
    </row>
    <row r="959" ht="15.75" customHeight="1">
      <c r="A959" s="13"/>
      <c r="B959" s="13"/>
      <c r="C959" s="13"/>
      <c r="D959" s="13"/>
      <c r="E959" s="13"/>
      <c r="F959" s="13"/>
      <c r="L959" s="13"/>
      <c r="N959" s="13"/>
    </row>
    <row r="960" ht="15.75" customHeight="1">
      <c r="A960" s="13"/>
      <c r="B960" s="13"/>
      <c r="C960" s="13"/>
      <c r="D960" s="13"/>
      <c r="E960" s="13"/>
      <c r="F960" s="13"/>
      <c r="L960" s="13"/>
      <c r="N960" s="13"/>
    </row>
    <row r="961" ht="15.75" customHeight="1">
      <c r="A961" s="13"/>
      <c r="B961" s="13"/>
      <c r="C961" s="13"/>
      <c r="D961" s="13"/>
      <c r="E961" s="13"/>
      <c r="F961" s="13"/>
      <c r="L961" s="13"/>
      <c r="N961" s="13"/>
    </row>
    <row r="962" ht="15.75" customHeight="1">
      <c r="A962" s="13"/>
      <c r="B962" s="13"/>
      <c r="C962" s="13"/>
      <c r="D962" s="13"/>
      <c r="E962" s="13"/>
      <c r="F962" s="13"/>
      <c r="L962" s="13"/>
      <c r="N962" s="13"/>
    </row>
    <row r="963" ht="15.75" customHeight="1">
      <c r="A963" s="13"/>
      <c r="B963" s="13"/>
      <c r="C963" s="13"/>
      <c r="D963" s="13"/>
      <c r="E963" s="13"/>
      <c r="F963" s="13"/>
      <c r="L963" s="13"/>
      <c r="N963" s="13"/>
    </row>
    <row r="964" ht="15.75" customHeight="1">
      <c r="A964" s="13"/>
      <c r="B964" s="13"/>
      <c r="C964" s="13"/>
      <c r="D964" s="13"/>
      <c r="E964" s="13"/>
      <c r="F964" s="13"/>
      <c r="L964" s="13"/>
      <c r="N964" s="13"/>
    </row>
    <row r="965" ht="15.75" customHeight="1">
      <c r="A965" s="13"/>
      <c r="B965" s="13"/>
      <c r="C965" s="13"/>
      <c r="D965" s="13"/>
      <c r="E965" s="13"/>
      <c r="F965" s="13"/>
      <c r="L965" s="13"/>
      <c r="N965" s="13"/>
    </row>
    <row r="966" ht="15.75" customHeight="1">
      <c r="A966" s="13"/>
      <c r="B966" s="13"/>
      <c r="C966" s="13"/>
      <c r="D966" s="13"/>
      <c r="E966" s="13"/>
      <c r="F966" s="13"/>
      <c r="L966" s="13"/>
      <c r="N966" s="13"/>
    </row>
    <row r="967" ht="15.75" customHeight="1">
      <c r="A967" s="13"/>
      <c r="B967" s="13"/>
      <c r="C967" s="13"/>
      <c r="D967" s="13"/>
      <c r="E967" s="13"/>
      <c r="F967" s="13"/>
      <c r="L967" s="13"/>
      <c r="N967" s="13"/>
    </row>
    <row r="968" ht="15.75" customHeight="1">
      <c r="A968" s="13"/>
      <c r="B968" s="13"/>
      <c r="C968" s="13"/>
      <c r="D968" s="13"/>
      <c r="E968" s="13"/>
      <c r="F968" s="13"/>
      <c r="L968" s="13"/>
      <c r="N968" s="13"/>
    </row>
    <row r="969" ht="15.75" customHeight="1">
      <c r="A969" s="13"/>
      <c r="B969" s="13"/>
      <c r="C969" s="13"/>
      <c r="D969" s="13"/>
      <c r="E969" s="13"/>
      <c r="F969" s="13"/>
      <c r="L969" s="13"/>
      <c r="N969" s="13"/>
    </row>
    <row r="970" ht="15.75" customHeight="1">
      <c r="A970" s="13"/>
      <c r="B970" s="13"/>
      <c r="C970" s="13"/>
      <c r="D970" s="13"/>
      <c r="E970" s="13"/>
      <c r="F970" s="13"/>
      <c r="L970" s="13"/>
      <c r="N970" s="13"/>
    </row>
    <row r="971" ht="15.75" customHeight="1">
      <c r="A971" s="13"/>
      <c r="B971" s="13"/>
      <c r="C971" s="13"/>
      <c r="D971" s="13"/>
      <c r="E971" s="13"/>
      <c r="F971" s="13"/>
      <c r="L971" s="13"/>
      <c r="N971" s="13"/>
    </row>
    <row r="972" ht="15.75" customHeight="1">
      <c r="A972" s="13"/>
      <c r="B972" s="13"/>
      <c r="C972" s="13"/>
      <c r="D972" s="13"/>
      <c r="E972" s="13"/>
      <c r="F972" s="13"/>
      <c r="L972" s="13"/>
      <c r="N972" s="13"/>
    </row>
    <row r="973" ht="15.75" customHeight="1">
      <c r="A973" s="13"/>
      <c r="B973" s="13"/>
      <c r="C973" s="13"/>
      <c r="D973" s="13"/>
      <c r="E973" s="13"/>
      <c r="F973" s="13"/>
      <c r="L973" s="13"/>
      <c r="N973" s="13"/>
    </row>
    <row r="974" ht="15.75" customHeight="1">
      <c r="A974" s="13"/>
      <c r="B974" s="13"/>
      <c r="C974" s="13"/>
      <c r="D974" s="13"/>
      <c r="E974" s="13"/>
      <c r="F974" s="13"/>
      <c r="L974" s="13"/>
      <c r="N974" s="13"/>
    </row>
    <row r="975" ht="15.75" customHeight="1">
      <c r="A975" s="13"/>
      <c r="B975" s="13"/>
      <c r="C975" s="13"/>
      <c r="D975" s="13"/>
      <c r="E975" s="13"/>
      <c r="F975" s="13"/>
      <c r="L975" s="13"/>
      <c r="N975" s="13"/>
    </row>
    <row r="976" ht="15.75" customHeight="1">
      <c r="A976" s="13"/>
      <c r="B976" s="13"/>
      <c r="C976" s="13"/>
      <c r="D976" s="13"/>
      <c r="E976" s="13"/>
      <c r="F976" s="13"/>
      <c r="L976" s="13"/>
      <c r="N976" s="13"/>
    </row>
    <row r="977" ht="15.75" customHeight="1">
      <c r="A977" s="13"/>
      <c r="B977" s="13"/>
      <c r="C977" s="13"/>
      <c r="D977" s="13"/>
      <c r="E977" s="13"/>
      <c r="F977" s="13"/>
      <c r="L977" s="13"/>
      <c r="N977" s="13"/>
    </row>
    <row r="978" ht="15.75" customHeight="1">
      <c r="A978" s="13"/>
      <c r="B978" s="13"/>
      <c r="C978" s="13"/>
      <c r="D978" s="13"/>
      <c r="E978" s="13"/>
      <c r="F978" s="13"/>
      <c r="L978" s="13"/>
      <c r="N978" s="13"/>
    </row>
    <row r="979" ht="15.75" customHeight="1">
      <c r="A979" s="13"/>
      <c r="B979" s="13"/>
      <c r="C979" s="13"/>
      <c r="D979" s="13"/>
      <c r="E979" s="13"/>
      <c r="F979" s="13"/>
      <c r="L979" s="13"/>
      <c r="N979" s="13"/>
    </row>
    <row r="980" ht="15.75" customHeight="1">
      <c r="A980" s="13"/>
      <c r="B980" s="13"/>
      <c r="C980" s="13"/>
      <c r="D980" s="13"/>
      <c r="E980" s="13"/>
      <c r="F980" s="13"/>
      <c r="L980" s="13"/>
      <c r="N980" s="13"/>
    </row>
    <row r="981" ht="15.75" customHeight="1">
      <c r="A981" s="13"/>
      <c r="B981" s="13"/>
      <c r="C981" s="13"/>
      <c r="D981" s="13"/>
      <c r="E981" s="13"/>
      <c r="F981" s="13"/>
      <c r="L981" s="13"/>
      <c r="N981" s="13"/>
    </row>
    <row r="982" ht="15.75" customHeight="1">
      <c r="A982" s="13"/>
      <c r="B982" s="13"/>
      <c r="C982" s="13"/>
      <c r="D982" s="13"/>
      <c r="E982" s="13"/>
      <c r="F982" s="13"/>
      <c r="L982" s="13"/>
      <c r="N982" s="13"/>
    </row>
    <row r="983" ht="15.75" customHeight="1">
      <c r="A983" s="13"/>
      <c r="B983" s="13"/>
      <c r="C983" s="13"/>
      <c r="D983" s="13"/>
      <c r="E983" s="13"/>
      <c r="F983" s="13"/>
      <c r="L983" s="13"/>
      <c r="N983" s="13"/>
    </row>
    <row r="984" ht="15.75" customHeight="1">
      <c r="A984" s="13"/>
      <c r="B984" s="13"/>
      <c r="C984" s="13"/>
      <c r="D984" s="13"/>
      <c r="E984" s="13"/>
      <c r="F984" s="13"/>
      <c r="L984" s="13"/>
      <c r="N984" s="13"/>
    </row>
    <row r="985" ht="15.75" customHeight="1">
      <c r="A985" s="13"/>
      <c r="B985" s="13"/>
      <c r="C985" s="13"/>
      <c r="D985" s="13"/>
      <c r="E985" s="13"/>
      <c r="F985" s="13"/>
      <c r="L985" s="13"/>
      <c r="N985" s="13"/>
    </row>
    <row r="986" ht="15.75" customHeight="1">
      <c r="A986" s="13"/>
      <c r="B986" s="13"/>
      <c r="C986" s="13"/>
      <c r="D986" s="13"/>
      <c r="E986" s="13"/>
      <c r="F986" s="13"/>
      <c r="L986" s="13"/>
      <c r="N986" s="13"/>
    </row>
    <row r="987" ht="15.75" customHeight="1">
      <c r="A987" s="13"/>
      <c r="B987" s="13"/>
      <c r="C987" s="13"/>
      <c r="D987" s="13"/>
      <c r="E987" s="13"/>
      <c r="F987" s="13"/>
      <c r="L987" s="13"/>
      <c r="N987" s="13"/>
    </row>
    <row r="988" ht="15.75" customHeight="1">
      <c r="A988" s="13"/>
      <c r="B988" s="13"/>
      <c r="C988" s="13"/>
      <c r="D988" s="13"/>
      <c r="E988" s="13"/>
      <c r="F988" s="13"/>
      <c r="L988" s="13"/>
      <c r="N988" s="13"/>
    </row>
    <row r="989" ht="15.75" customHeight="1">
      <c r="A989" s="13"/>
      <c r="B989" s="13"/>
      <c r="C989" s="13"/>
      <c r="D989" s="13"/>
      <c r="E989" s="13"/>
      <c r="F989" s="13"/>
      <c r="L989" s="13"/>
      <c r="N989" s="13"/>
    </row>
    <row r="990" ht="15.75" customHeight="1">
      <c r="A990" s="13"/>
      <c r="B990" s="13"/>
      <c r="C990" s="13"/>
      <c r="D990" s="13"/>
      <c r="E990" s="13"/>
      <c r="F990" s="13"/>
      <c r="L990" s="13"/>
      <c r="N990" s="13"/>
    </row>
    <row r="991" ht="15.75" customHeight="1">
      <c r="A991" s="13"/>
      <c r="B991" s="13"/>
      <c r="C991" s="13"/>
      <c r="D991" s="13"/>
      <c r="E991" s="13"/>
      <c r="F991" s="13"/>
      <c r="L991" s="13"/>
      <c r="N991" s="13"/>
    </row>
    <row r="992" ht="15.75" customHeight="1">
      <c r="A992" s="13"/>
      <c r="B992" s="13"/>
      <c r="C992" s="13"/>
      <c r="D992" s="13"/>
      <c r="E992" s="13"/>
      <c r="F992" s="13"/>
      <c r="L992" s="13"/>
      <c r="N992" s="13"/>
    </row>
    <row r="993" ht="15.75" customHeight="1">
      <c r="A993" s="13"/>
      <c r="B993" s="13"/>
      <c r="C993" s="13"/>
      <c r="D993" s="13"/>
      <c r="E993" s="13"/>
      <c r="F993" s="13"/>
      <c r="L993" s="13"/>
      <c r="N993" s="13"/>
    </row>
    <row r="994" ht="15.75" customHeight="1">
      <c r="A994" s="13"/>
      <c r="B994" s="13"/>
      <c r="C994" s="13"/>
      <c r="D994" s="13"/>
      <c r="E994" s="13"/>
      <c r="F994" s="13"/>
      <c r="L994" s="13"/>
      <c r="N994" s="13"/>
    </row>
    <row r="995" ht="15.75" customHeight="1">
      <c r="A995" s="13"/>
      <c r="B995" s="13"/>
      <c r="C995" s="13"/>
      <c r="D995" s="13"/>
      <c r="E995" s="13"/>
      <c r="F995" s="13"/>
      <c r="L995" s="13"/>
      <c r="N995" s="13"/>
    </row>
    <row r="996" ht="15.75" customHeight="1">
      <c r="A996" s="13"/>
      <c r="B996" s="13"/>
      <c r="C996" s="13"/>
      <c r="D996" s="13"/>
      <c r="E996" s="13"/>
      <c r="F996" s="13"/>
      <c r="L996" s="13"/>
      <c r="N996" s="13"/>
    </row>
    <row r="997" ht="15.75" customHeight="1">
      <c r="A997" s="13"/>
      <c r="B997" s="13"/>
      <c r="C997" s="13"/>
      <c r="D997" s="13"/>
      <c r="E997" s="13"/>
      <c r="F997" s="13"/>
      <c r="L997" s="13"/>
      <c r="N997" s="13"/>
    </row>
    <row r="998" ht="15.75" customHeight="1">
      <c r="A998" s="13"/>
      <c r="B998" s="13"/>
      <c r="C998" s="13"/>
      <c r="D998" s="13"/>
      <c r="E998" s="13"/>
      <c r="F998" s="13"/>
      <c r="L998" s="13"/>
      <c r="N998" s="13"/>
    </row>
    <row r="999" ht="15.75" customHeight="1">
      <c r="A999" s="13"/>
      <c r="B999" s="13"/>
      <c r="C999" s="13"/>
      <c r="D999" s="13"/>
      <c r="E999" s="13"/>
      <c r="F999" s="13"/>
      <c r="L999" s="13"/>
      <c r="N999" s="13"/>
    </row>
    <row r="1000" ht="15.75" customHeight="1">
      <c r="A1000" s="13"/>
      <c r="B1000" s="13"/>
      <c r="C1000" s="13"/>
      <c r="D1000" s="13"/>
      <c r="E1000" s="13"/>
      <c r="F1000" s="13"/>
      <c r="L1000" s="13"/>
      <c r="N1000" s="13"/>
    </row>
  </sheetData>
  <conditionalFormatting sqref="M1:M1000">
    <cfRule type="containsText" dxfId="0" priority="1" operator="containsText" text="TRUE">
      <formula>NOT(ISERROR(SEARCH(("TRUE"),(M1))))</formula>
    </cfRule>
  </conditionalFormatting>
  <conditionalFormatting sqref="M1:M1000">
    <cfRule type="containsText" dxfId="1" priority="2" operator="containsText" text="FALSE">
      <formula>NOT(ISERROR(SEARCH(("FALSE"),(M1))))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63"/>
    <col customWidth="1" min="3" max="3" width="15.5"/>
    <col customWidth="1" min="4" max="6" width="12.63"/>
    <col customWidth="1" min="13" max="13" width="21.25"/>
  </cols>
  <sheetData>
    <row r="1" ht="15.75" customHeight="1">
      <c r="A1" s="17" t="s">
        <v>0</v>
      </c>
      <c r="B1" s="17" t="s">
        <v>20</v>
      </c>
      <c r="C1" s="17" t="s">
        <v>21</v>
      </c>
      <c r="D1" s="17" t="s">
        <v>22</v>
      </c>
      <c r="E1" s="17" t="s">
        <v>23</v>
      </c>
      <c r="F1" s="17" t="s">
        <v>24</v>
      </c>
      <c r="G1" s="17" t="s">
        <v>25</v>
      </c>
      <c r="H1" s="17" t="s">
        <v>26</v>
      </c>
      <c r="I1" s="17" t="s">
        <v>28</v>
      </c>
      <c r="J1" s="17" t="s">
        <v>78</v>
      </c>
      <c r="K1" s="17"/>
      <c r="L1" s="17" t="s">
        <v>31</v>
      </c>
      <c r="M1" s="17" t="s">
        <v>79</v>
      </c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ht="15.75" customHeight="1">
      <c r="A2" s="18" t="s">
        <v>13</v>
      </c>
      <c r="B2" s="18" t="s">
        <v>32</v>
      </c>
      <c r="C2" s="19">
        <v>3.907448</v>
      </c>
      <c r="D2" s="19">
        <v>2335.220195</v>
      </c>
      <c r="E2" s="19">
        <v>128.165694</v>
      </c>
      <c r="F2" s="19">
        <v>3.827328</v>
      </c>
      <c r="G2" s="19">
        <v>1.751409</v>
      </c>
      <c r="H2" s="19">
        <v>25.020344</v>
      </c>
      <c r="I2" s="19">
        <v>0.850006645722737</v>
      </c>
      <c r="J2" s="19">
        <v>1.0</v>
      </c>
      <c r="K2" s="19"/>
      <c r="L2" s="16" t="b">
        <v>1</v>
      </c>
      <c r="M2" s="18">
        <f t="shared" ref="M2:M10" si="1"> I2 - I20</f>
        <v>0.003943865955</v>
      </c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ht="15.75" customHeight="1">
      <c r="A3" s="18" t="s">
        <v>13</v>
      </c>
      <c r="B3" s="18" t="s">
        <v>34</v>
      </c>
      <c r="C3" s="19">
        <v>4.520128</v>
      </c>
      <c r="D3" s="19">
        <v>1459.873185</v>
      </c>
      <c r="E3" s="19">
        <v>55.756612</v>
      </c>
      <c r="F3" s="19">
        <v>7.383406</v>
      </c>
      <c r="G3" s="19">
        <v>2.068689</v>
      </c>
      <c r="H3" s="19">
        <v>59.54888</v>
      </c>
      <c r="I3" s="19">
        <v>0.942020833333333</v>
      </c>
      <c r="J3" s="19">
        <v>0.751</v>
      </c>
      <c r="K3" s="19"/>
      <c r="L3" s="16" t="b">
        <v>0</v>
      </c>
      <c r="M3" s="18">
        <f t="shared" si="1"/>
        <v>-0.04045923423</v>
      </c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ht="15.75" customHeight="1">
      <c r="A4" s="18" t="s">
        <v>13</v>
      </c>
      <c r="B4" s="18" t="s">
        <v>35</v>
      </c>
      <c r="C4" s="19">
        <v>98.165608</v>
      </c>
      <c r="D4" s="19">
        <v>122629.33064</v>
      </c>
      <c r="E4" s="19">
        <v>3570.964094</v>
      </c>
      <c r="F4" s="19">
        <v>73.361264</v>
      </c>
      <c r="G4" s="19">
        <v>41.049132</v>
      </c>
      <c r="H4" s="19">
        <v>458.13628</v>
      </c>
      <c r="I4" s="19">
        <v>0.88413611145658</v>
      </c>
      <c r="J4" s="19">
        <v>0.995</v>
      </c>
      <c r="K4" s="19"/>
      <c r="L4" s="16" t="b">
        <v>0</v>
      </c>
      <c r="M4" s="18">
        <f t="shared" si="1"/>
        <v>-0.005279156462</v>
      </c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</row>
    <row r="5" ht="15.75" customHeight="1">
      <c r="A5" s="18" t="s">
        <v>13</v>
      </c>
      <c r="B5" s="18" t="s">
        <v>36</v>
      </c>
      <c r="C5" s="19">
        <v>3.200128</v>
      </c>
      <c r="D5" s="19">
        <v>979.617808</v>
      </c>
      <c r="E5" s="19">
        <v>32.617664</v>
      </c>
      <c r="F5" s="19">
        <v>4.282878</v>
      </c>
      <c r="G5" s="19">
        <v>1.142984</v>
      </c>
      <c r="H5" s="19">
        <v>27.238076</v>
      </c>
      <c r="I5" s="19">
        <v>0.901941907894736</v>
      </c>
      <c r="J5" s="19">
        <v>0.78</v>
      </c>
      <c r="K5" s="19"/>
      <c r="L5" s="16" t="b">
        <v>0</v>
      </c>
      <c r="M5" s="18">
        <f t="shared" si="1"/>
        <v>-0.06609796053</v>
      </c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</row>
    <row r="6" ht="15.75" customHeight="1">
      <c r="A6" s="18" t="s">
        <v>13</v>
      </c>
      <c r="B6" s="18" t="s">
        <v>38</v>
      </c>
      <c r="C6" s="19">
        <v>0.200128</v>
      </c>
      <c r="D6" s="19">
        <v>150.563925</v>
      </c>
      <c r="E6" s="19">
        <v>15.91442</v>
      </c>
      <c r="F6" s="19">
        <v>5.169491</v>
      </c>
      <c r="G6" s="19">
        <v>0.748102</v>
      </c>
      <c r="H6" s="19">
        <v>24.14625</v>
      </c>
      <c r="I6" s="19">
        <v>0.68806398457985</v>
      </c>
      <c r="J6" s="19">
        <v>1.0</v>
      </c>
      <c r="K6" s="19"/>
      <c r="L6" s="16" t="b">
        <v>0</v>
      </c>
      <c r="M6" s="18">
        <f t="shared" si="1"/>
        <v>-0.008661778462</v>
      </c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</row>
    <row r="7" ht="15.75" customHeight="1">
      <c r="A7" s="18" t="s">
        <v>13</v>
      </c>
      <c r="B7" s="18" t="s">
        <v>39</v>
      </c>
      <c r="C7" s="19">
        <v>3.340128</v>
      </c>
      <c r="D7" s="19">
        <v>1212.558941</v>
      </c>
      <c r="E7" s="19">
        <v>46.762523</v>
      </c>
      <c r="F7" s="19">
        <v>5.615406</v>
      </c>
      <c r="G7" s="19">
        <v>1.511614</v>
      </c>
      <c r="H7" s="19">
        <v>37.646447</v>
      </c>
      <c r="I7" s="19">
        <v>0.886451353276353</v>
      </c>
      <c r="J7" s="19">
        <v>0.924</v>
      </c>
      <c r="K7" s="19"/>
      <c r="L7" s="16" t="b">
        <v>0</v>
      </c>
      <c r="M7" s="18">
        <f t="shared" si="1"/>
        <v>-0.08379131054</v>
      </c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ht="15.75" customHeight="1">
      <c r="A8" s="18" t="s">
        <v>13</v>
      </c>
      <c r="B8" s="18" t="s">
        <v>40</v>
      </c>
      <c r="C8" s="19">
        <v>162.039016</v>
      </c>
      <c r="D8" s="19">
        <v>82280.437439</v>
      </c>
      <c r="E8" s="19">
        <v>2657.139259</v>
      </c>
      <c r="F8" s="19">
        <v>17.832163</v>
      </c>
      <c r="G8" s="19">
        <v>72.566051</v>
      </c>
      <c r="H8" s="19">
        <v>265.738817</v>
      </c>
      <c r="I8" s="19">
        <v>0.781820507502886</v>
      </c>
      <c r="J8" s="19">
        <v>0.979</v>
      </c>
      <c r="K8" s="19"/>
      <c r="L8" s="16" t="b">
        <v>1</v>
      </c>
      <c r="M8" s="18">
        <f t="shared" si="1"/>
        <v>0.05615134038</v>
      </c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ht="15.75" customHeight="1">
      <c r="A9" s="18" t="s">
        <v>13</v>
      </c>
      <c r="B9" s="18" t="s">
        <v>41</v>
      </c>
      <c r="C9" s="19">
        <v>18.712096</v>
      </c>
      <c r="D9" s="19">
        <v>3544.486617</v>
      </c>
      <c r="E9" s="19">
        <v>271.973699</v>
      </c>
      <c r="F9" s="19">
        <v>2.231165</v>
      </c>
      <c r="G9" s="19">
        <v>6.736061</v>
      </c>
      <c r="H9" s="19">
        <v>102.504686</v>
      </c>
      <c r="I9" s="19">
        <v>0.962816373010111</v>
      </c>
      <c r="J9" s="19">
        <v>1.0</v>
      </c>
      <c r="K9" s="19"/>
      <c r="L9" s="16" t="b">
        <v>1</v>
      </c>
      <c r="M9" s="18">
        <f t="shared" si="1"/>
        <v>0.07292295415</v>
      </c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</row>
    <row r="10" ht="15.75" customHeight="1">
      <c r="A10" s="18" t="s">
        <v>13</v>
      </c>
      <c r="B10" s="18" t="s">
        <v>37</v>
      </c>
      <c r="C10" s="19">
        <v>255.645408</v>
      </c>
      <c r="D10" s="19">
        <v>95090.524928</v>
      </c>
      <c r="E10" s="19">
        <v>3483.092798</v>
      </c>
      <c r="F10" s="19">
        <v>6.744517</v>
      </c>
      <c r="G10" s="19">
        <v>81.259212</v>
      </c>
      <c r="H10" s="19">
        <v>316.717502</v>
      </c>
      <c r="I10" s="19">
        <v>0.939288554129754</v>
      </c>
      <c r="J10" s="19">
        <v>1.0</v>
      </c>
      <c r="K10" s="19"/>
      <c r="L10" s="16" t="b">
        <v>1</v>
      </c>
      <c r="M10" s="18">
        <f t="shared" si="1"/>
        <v>0.3066487073</v>
      </c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5.75" customHeight="1">
      <c r="A11" s="18" t="s">
        <v>16</v>
      </c>
      <c r="B11" s="18" t="s">
        <v>32</v>
      </c>
      <c r="C11" s="19">
        <v>3.907448</v>
      </c>
      <c r="D11" s="19">
        <v>2442.880482</v>
      </c>
      <c r="E11" s="19">
        <v>129.075719</v>
      </c>
      <c r="F11" s="19">
        <v>3.850393</v>
      </c>
      <c r="G11" s="19">
        <v>2.192589</v>
      </c>
      <c r="H11" s="19">
        <v>25.681516</v>
      </c>
      <c r="I11" s="19">
        <v>0.902268763393616</v>
      </c>
      <c r="J11" s="19">
        <v>1.0</v>
      </c>
      <c r="K11" s="19"/>
      <c r="L11" s="16" t="b">
        <v>1</v>
      </c>
      <c r="M11" s="18">
        <f t="shared" ref="M11:M19" si="2"> I11 - I20</f>
        <v>0.05620598363</v>
      </c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 ht="15.75" customHeight="1">
      <c r="A12" s="18" t="s">
        <v>16</v>
      </c>
      <c r="B12" s="18" t="s">
        <v>34</v>
      </c>
      <c r="C12" s="19">
        <v>4.520128</v>
      </c>
      <c r="D12" s="19">
        <v>1512.218437</v>
      </c>
      <c r="E12" s="19">
        <v>60.27888</v>
      </c>
      <c r="F12" s="19">
        <v>7.384842</v>
      </c>
      <c r="G12" s="19">
        <v>2.058639</v>
      </c>
      <c r="H12" s="19">
        <v>62.319537</v>
      </c>
      <c r="I12" s="19">
        <v>0.897538776276276</v>
      </c>
      <c r="J12" s="19">
        <v>0.814</v>
      </c>
      <c r="K12" s="19"/>
      <c r="L12" s="16" t="b">
        <v>0</v>
      </c>
      <c r="M12" s="18">
        <f t="shared" si="2"/>
        <v>-0.08494129129</v>
      </c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 ht="15.75" customHeight="1">
      <c r="A13" s="18" t="s">
        <v>16</v>
      </c>
      <c r="B13" s="18" t="s">
        <v>35</v>
      </c>
      <c r="C13" s="19">
        <v>98.165608</v>
      </c>
      <c r="D13" s="19">
        <v>121961.180374</v>
      </c>
      <c r="E13" s="19">
        <v>3611.784183</v>
      </c>
      <c r="F13" s="19">
        <v>73.397545</v>
      </c>
      <c r="G13" s="19">
        <v>50.029892</v>
      </c>
      <c r="H13" s="19">
        <v>475.011129</v>
      </c>
      <c r="I13" s="19">
        <v>0.897629955723202</v>
      </c>
      <c r="J13" s="19">
        <v>0.936</v>
      </c>
      <c r="K13" s="19"/>
      <c r="L13" s="16" t="b">
        <v>1</v>
      </c>
      <c r="M13" s="18">
        <f t="shared" si="2"/>
        <v>0.008214687805</v>
      </c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 ht="15.75" customHeight="1">
      <c r="A14" s="18" t="s">
        <v>16</v>
      </c>
      <c r="B14" s="18" t="s">
        <v>36</v>
      </c>
      <c r="C14" s="19">
        <v>3.200128</v>
      </c>
      <c r="D14" s="19">
        <v>1044.897489</v>
      </c>
      <c r="E14" s="19">
        <v>35.827332</v>
      </c>
      <c r="F14" s="19">
        <v>4.283838</v>
      </c>
      <c r="G14" s="19">
        <v>1.169998</v>
      </c>
      <c r="H14" s="19">
        <v>28.161134</v>
      </c>
      <c r="I14" s="19">
        <v>0.920157236842105</v>
      </c>
      <c r="J14" s="19">
        <v>0.718</v>
      </c>
      <c r="K14" s="19"/>
      <c r="L14" s="16" t="b">
        <v>0</v>
      </c>
      <c r="M14" s="18">
        <f t="shared" si="2"/>
        <v>-0.04788263158</v>
      </c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ht="15.75" customHeight="1">
      <c r="A15" s="18" t="s">
        <v>16</v>
      </c>
      <c r="B15" s="18" t="s">
        <v>38</v>
      </c>
      <c r="C15" s="19">
        <v>0.200128</v>
      </c>
      <c r="D15" s="19">
        <v>164.466943</v>
      </c>
      <c r="E15" s="19">
        <v>15.884971</v>
      </c>
      <c r="F15" s="19">
        <v>5.153421</v>
      </c>
      <c r="G15" s="19">
        <v>0.86762</v>
      </c>
      <c r="H15" s="19">
        <v>25.326735</v>
      </c>
      <c r="I15" s="19">
        <v>0.616445324013884</v>
      </c>
      <c r="J15" s="19">
        <v>1.0</v>
      </c>
      <c r="K15" s="19"/>
      <c r="L15" s="16" t="b">
        <v>0</v>
      </c>
      <c r="M15" s="18">
        <f t="shared" si="2"/>
        <v>-0.08028043903</v>
      </c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</row>
    <row r="16" ht="15.75" customHeight="1">
      <c r="A16" s="18" t="s">
        <v>16</v>
      </c>
      <c r="B16" s="18" t="s">
        <v>39</v>
      </c>
      <c r="C16" s="19">
        <v>3.340128</v>
      </c>
      <c r="D16" s="19">
        <v>1294.988253</v>
      </c>
      <c r="E16" s="19">
        <v>50.112184</v>
      </c>
      <c r="F16" s="19">
        <v>5.616562</v>
      </c>
      <c r="G16" s="19">
        <v>1.539449</v>
      </c>
      <c r="H16" s="19">
        <v>38.978003</v>
      </c>
      <c r="I16" s="19">
        <v>0.912103774928775</v>
      </c>
      <c r="J16" s="19">
        <v>0.912</v>
      </c>
      <c r="K16" s="19"/>
      <c r="L16" s="16" t="b">
        <v>0</v>
      </c>
      <c r="M16" s="18">
        <f t="shared" si="2"/>
        <v>-0.05813888889</v>
      </c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</row>
    <row r="17" ht="15.75" customHeight="1">
      <c r="A17" s="18" t="s">
        <v>16</v>
      </c>
      <c r="B17" s="18" t="s">
        <v>40</v>
      </c>
      <c r="C17" s="19">
        <v>162.039016</v>
      </c>
      <c r="D17" s="18"/>
      <c r="E17" s="18"/>
      <c r="F17" s="18"/>
      <c r="G17" s="18"/>
      <c r="H17" s="18"/>
      <c r="I17" s="18"/>
      <c r="J17" s="18"/>
      <c r="K17" s="18"/>
      <c r="L17" s="16" t="b">
        <v>0</v>
      </c>
      <c r="M17" s="18">
        <f t="shared" si="2"/>
        <v>-0.7256691671</v>
      </c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ht="15.75" customHeight="1">
      <c r="A18" s="18" t="s">
        <v>16</v>
      </c>
      <c r="B18" s="18" t="s">
        <v>41</v>
      </c>
      <c r="C18" s="19">
        <v>18.712096</v>
      </c>
      <c r="D18" s="19">
        <v>4187.002935</v>
      </c>
      <c r="E18" s="19">
        <v>783.287077</v>
      </c>
      <c r="F18" s="19">
        <v>2.653589</v>
      </c>
      <c r="G18" s="19">
        <v>11.598527</v>
      </c>
      <c r="H18" s="19">
        <v>107.001778</v>
      </c>
      <c r="I18" s="19">
        <v>0.948453561196241</v>
      </c>
      <c r="J18" s="19">
        <v>1.0</v>
      </c>
      <c r="K18" s="19"/>
      <c r="L18" s="16" t="b">
        <v>1</v>
      </c>
      <c r="M18" s="18">
        <f t="shared" si="2"/>
        <v>0.05856014233</v>
      </c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</row>
    <row r="19" ht="15.75" customHeight="1">
      <c r="A19" s="18" t="s">
        <v>16</v>
      </c>
      <c r="B19" s="18" t="s">
        <v>37</v>
      </c>
      <c r="C19" s="19">
        <v>255.645408</v>
      </c>
      <c r="D19" s="19">
        <v>98195.677411</v>
      </c>
      <c r="E19" s="19">
        <v>3739.273639</v>
      </c>
      <c r="F19" s="19">
        <v>7.057522</v>
      </c>
      <c r="G19" s="19">
        <v>187.937031</v>
      </c>
      <c r="H19" s="19">
        <v>320.969169</v>
      </c>
      <c r="I19" s="19">
        <v>0.766024200387799</v>
      </c>
      <c r="J19" s="19">
        <v>1.0</v>
      </c>
      <c r="K19" s="19"/>
      <c r="L19" s="16" t="b">
        <v>1</v>
      </c>
      <c r="M19" s="18">
        <f t="shared" si="2"/>
        <v>0.1333843535</v>
      </c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</row>
    <row r="20" ht="15.75" customHeight="1">
      <c r="A20" s="18" t="s">
        <v>33</v>
      </c>
      <c r="B20" s="18" t="s">
        <v>32</v>
      </c>
      <c r="C20" s="19">
        <v>3.907448</v>
      </c>
      <c r="D20" s="19">
        <v>18.207913</v>
      </c>
      <c r="E20" s="19">
        <v>41.026812</v>
      </c>
      <c r="F20" s="19">
        <v>0.169494</v>
      </c>
      <c r="G20" s="19">
        <v>1.825013</v>
      </c>
      <c r="H20" s="19">
        <v>25.622773</v>
      </c>
      <c r="I20" s="19">
        <v>0.84606277976821</v>
      </c>
      <c r="J20" s="19">
        <v>1.0</v>
      </c>
      <c r="K20" s="19"/>
      <c r="L20" s="16" t="b">
        <v>0</v>
      </c>
      <c r="M20" s="18">
        <f t="shared" ref="M20:M28" si="3"> I20 - I20</f>
        <v>0</v>
      </c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</row>
    <row r="21" ht="15.75" customHeight="1">
      <c r="A21" s="18" t="s">
        <v>33</v>
      </c>
      <c r="B21" s="18" t="s">
        <v>34</v>
      </c>
      <c r="C21" s="19">
        <v>4.520128</v>
      </c>
      <c r="D21" s="19">
        <v>37.699565</v>
      </c>
      <c r="E21" s="19">
        <v>61.443354</v>
      </c>
      <c r="F21" s="19">
        <v>0.301017</v>
      </c>
      <c r="G21" s="19">
        <v>2.739793</v>
      </c>
      <c r="H21" s="19">
        <v>61.26025</v>
      </c>
      <c r="I21" s="19">
        <v>0.982480067567567</v>
      </c>
      <c r="J21" s="19">
        <v>0.963</v>
      </c>
      <c r="K21" s="19"/>
      <c r="L21" s="16" t="b">
        <v>0</v>
      </c>
      <c r="M21" s="18">
        <f t="shared" si="3"/>
        <v>0</v>
      </c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ht="15.75" customHeight="1">
      <c r="A22" s="18" t="s">
        <v>33</v>
      </c>
      <c r="B22" s="18" t="s">
        <v>35</v>
      </c>
      <c r="C22" s="19">
        <v>98.165608</v>
      </c>
      <c r="D22" s="19">
        <v>378.84696</v>
      </c>
      <c r="E22" s="19">
        <v>1009.291104</v>
      </c>
      <c r="F22" s="19">
        <v>0.361086</v>
      </c>
      <c r="G22" s="19">
        <v>44.221692</v>
      </c>
      <c r="H22" s="19">
        <v>466.572605</v>
      </c>
      <c r="I22" s="19">
        <v>0.889415267918273</v>
      </c>
      <c r="J22" s="19">
        <v>1.0</v>
      </c>
      <c r="K22" s="19"/>
      <c r="L22" s="16" t="b">
        <v>0</v>
      </c>
      <c r="M22" s="18">
        <f t="shared" si="3"/>
        <v>0</v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ht="15.75" customHeight="1">
      <c r="A23" s="18" t="s">
        <v>33</v>
      </c>
      <c r="B23" s="18" t="s">
        <v>36</v>
      </c>
      <c r="C23" s="19">
        <v>3.200128</v>
      </c>
      <c r="D23" s="19">
        <v>16.712313</v>
      </c>
      <c r="E23" s="19">
        <v>33.335665</v>
      </c>
      <c r="F23" s="19">
        <v>0.193836</v>
      </c>
      <c r="G23" s="19">
        <v>1.502726</v>
      </c>
      <c r="H23" s="19">
        <v>28.425445</v>
      </c>
      <c r="I23" s="19">
        <v>0.968039868421052</v>
      </c>
      <c r="J23" s="19">
        <v>0.979</v>
      </c>
      <c r="K23" s="19"/>
      <c r="L23" s="16" t="b">
        <v>0</v>
      </c>
      <c r="M23" s="18">
        <f t="shared" si="3"/>
        <v>0</v>
      </c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ht="15.75" customHeight="1">
      <c r="A24" s="18" t="s">
        <v>33</v>
      </c>
      <c r="B24" s="18" t="s">
        <v>38</v>
      </c>
      <c r="C24" s="19">
        <v>0.200128</v>
      </c>
      <c r="D24" s="19">
        <v>10.89391</v>
      </c>
      <c r="E24" s="19">
        <v>3.021129</v>
      </c>
      <c r="F24" s="19">
        <v>0.292982</v>
      </c>
      <c r="G24" s="19">
        <v>0.655214</v>
      </c>
      <c r="H24" s="19">
        <v>24.683722</v>
      </c>
      <c r="I24" s="19">
        <v>0.69672576304207</v>
      </c>
      <c r="J24" s="19">
        <v>1.0</v>
      </c>
      <c r="K24" s="19"/>
      <c r="L24" s="16" t="b">
        <v>0</v>
      </c>
      <c r="M24" s="18">
        <f t="shared" si="3"/>
        <v>0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ht="15.75" customHeight="1">
      <c r="A25" s="18" t="s">
        <v>33</v>
      </c>
      <c r="B25" s="18" t="s">
        <v>39</v>
      </c>
      <c r="C25" s="19">
        <v>3.340128</v>
      </c>
      <c r="D25" s="19">
        <v>27.583096</v>
      </c>
      <c r="E25" s="19">
        <v>44.920821</v>
      </c>
      <c r="F25" s="19">
        <v>0.239005</v>
      </c>
      <c r="G25" s="19">
        <v>1.988513</v>
      </c>
      <c r="H25" s="19">
        <v>38.589909</v>
      </c>
      <c r="I25" s="19">
        <v>0.970242663817664</v>
      </c>
      <c r="J25" s="19">
        <v>0.997</v>
      </c>
      <c r="K25" s="19"/>
      <c r="L25" s="16" t="b">
        <v>0</v>
      </c>
      <c r="M25" s="18">
        <f t="shared" si="3"/>
        <v>0</v>
      </c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ht="15.75" customHeight="1">
      <c r="A26" s="18" t="s">
        <v>33</v>
      </c>
      <c r="B26" s="18" t="s">
        <v>40</v>
      </c>
      <c r="C26" s="19">
        <v>162.039016</v>
      </c>
      <c r="D26" s="19">
        <v>287.947423</v>
      </c>
      <c r="E26" s="19">
        <v>1665.469206</v>
      </c>
      <c r="F26" s="19">
        <v>0.335467</v>
      </c>
      <c r="G26" s="19">
        <v>62.790978</v>
      </c>
      <c r="H26" s="19">
        <v>275.274062</v>
      </c>
      <c r="I26" s="19">
        <v>0.72566916711825</v>
      </c>
      <c r="J26" s="19">
        <v>1.0</v>
      </c>
      <c r="K26" s="19"/>
      <c r="L26" s="16" t="b">
        <v>0</v>
      </c>
      <c r="M26" s="18">
        <f t="shared" si="3"/>
        <v>0</v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ht="15.75" customHeight="1">
      <c r="A27" s="18" t="s">
        <v>33</v>
      </c>
      <c r="B27" s="18" t="s">
        <v>41</v>
      </c>
      <c r="C27" s="19">
        <v>18.712096</v>
      </c>
      <c r="D27" s="19">
        <v>51.417232</v>
      </c>
      <c r="E27" s="19">
        <v>192.939966</v>
      </c>
      <c r="F27" s="19">
        <v>0.454549</v>
      </c>
      <c r="G27" s="19">
        <v>7.996991</v>
      </c>
      <c r="H27" s="19">
        <v>106.262719</v>
      </c>
      <c r="I27" s="19">
        <v>0.889893418861734</v>
      </c>
      <c r="J27" s="19">
        <v>1.0</v>
      </c>
      <c r="K27" s="19"/>
      <c r="L27" s="16" t="b">
        <v>0</v>
      </c>
      <c r="M27" s="18">
        <f t="shared" si="3"/>
        <v>0</v>
      </c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ht="15.75" customHeight="1">
      <c r="A28" s="18" t="s">
        <v>33</v>
      </c>
      <c r="B28" s="18" t="s">
        <v>37</v>
      </c>
      <c r="C28" s="19">
        <v>255.645408</v>
      </c>
      <c r="D28" s="19">
        <v>382.860954</v>
      </c>
      <c r="E28" s="19">
        <v>2625.79807</v>
      </c>
      <c r="F28" s="19">
        <v>0.425929</v>
      </c>
      <c r="G28" s="19">
        <v>116.524616</v>
      </c>
      <c r="H28" s="19">
        <v>302.983582</v>
      </c>
      <c r="I28" s="19">
        <v>0.632639846861083</v>
      </c>
      <c r="J28" s="19">
        <v>1.0</v>
      </c>
      <c r="K28" s="19"/>
      <c r="L28" s="16" t="b">
        <v>0</v>
      </c>
      <c r="M28" s="18">
        <f t="shared" si="3"/>
        <v>0</v>
      </c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ht="15.75" customHeight="1">
      <c r="A29" s="18" t="s">
        <v>18</v>
      </c>
      <c r="B29" s="18" t="s">
        <v>32</v>
      </c>
      <c r="C29" s="19">
        <v>3.907448</v>
      </c>
      <c r="D29" s="19">
        <v>968.556432</v>
      </c>
      <c r="E29" s="19">
        <v>128.19177</v>
      </c>
      <c r="F29" s="19">
        <v>0.937476</v>
      </c>
      <c r="G29" s="19">
        <v>1.375366</v>
      </c>
      <c r="H29" s="19">
        <v>25.51443</v>
      </c>
      <c r="I29" s="19">
        <v>0.890656024690244</v>
      </c>
      <c r="J29" s="19">
        <v>0.997</v>
      </c>
      <c r="K29" s="19"/>
      <c r="L29" s="16" t="b">
        <v>1</v>
      </c>
      <c r="M29" s="18">
        <f t="shared" ref="M29:M37" si="4">I29 - I20</f>
        <v>0.04459324492</v>
      </c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ht="15.75" customHeight="1">
      <c r="A30" s="18" t="s">
        <v>18</v>
      </c>
      <c r="B30" s="18" t="s">
        <v>34</v>
      </c>
      <c r="C30" s="19">
        <v>4.520128</v>
      </c>
      <c r="D30" s="19">
        <v>448.360238</v>
      </c>
      <c r="E30" s="19">
        <v>55.775492</v>
      </c>
      <c r="F30" s="19">
        <v>0.857249</v>
      </c>
      <c r="G30" s="19">
        <v>1.660257</v>
      </c>
      <c r="H30" s="19">
        <v>60.414942</v>
      </c>
      <c r="I30" s="19">
        <v>0.97222286036036</v>
      </c>
      <c r="J30" s="19">
        <v>0.484</v>
      </c>
      <c r="K30" s="19"/>
      <c r="L30" s="16" t="b">
        <v>0</v>
      </c>
      <c r="M30" s="18">
        <f t="shared" si="4"/>
        <v>-0.01025720721</v>
      </c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ht="15.75" customHeight="1">
      <c r="A31" s="18" t="s">
        <v>18</v>
      </c>
      <c r="B31" s="18" t="s">
        <v>35</v>
      </c>
      <c r="C31" s="19">
        <v>98.165608</v>
      </c>
      <c r="D31" s="19">
        <v>26935.849083</v>
      </c>
      <c r="E31" s="19">
        <v>3570.955421</v>
      </c>
      <c r="F31" s="19">
        <v>5.22611</v>
      </c>
      <c r="G31" s="19">
        <v>32.642758</v>
      </c>
      <c r="H31" s="19">
        <v>488.297111</v>
      </c>
      <c r="I31" s="19">
        <v>0.918302485663714</v>
      </c>
      <c r="J31" s="19">
        <v>0.891</v>
      </c>
      <c r="K31" s="19"/>
      <c r="L31" s="16" t="b">
        <v>1</v>
      </c>
      <c r="M31" s="18">
        <f t="shared" si="4"/>
        <v>0.02888721775</v>
      </c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ht="15.75" customHeight="1">
      <c r="A32" s="18" t="s">
        <v>18</v>
      </c>
      <c r="B32" s="18" t="s">
        <v>36</v>
      </c>
      <c r="C32" s="19">
        <v>3.200128</v>
      </c>
      <c r="D32" s="19">
        <v>401.538141</v>
      </c>
      <c r="E32" s="19">
        <v>32.619298</v>
      </c>
      <c r="F32" s="19">
        <v>0.692832</v>
      </c>
      <c r="G32" s="19">
        <v>0.936026</v>
      </c>
      <c r="H32" s="19">
        <v>28.233848</v>
      </c>
      <c r="I32" s="19">
        <v>0.956953618421052</v>
      </c>
      <c r="J32" s="19">
        <v>0.712</v>
      </c>
      <c r="K32" s="19"/>
      <c r="L32" s="16" t="b">
        <v>0</v>
      </c>
      <c r="M32" s="18">
        <f t="shared" si="4"/>
        <v>-0.01108625</v>
      </c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ht="15.75" customHeight="1">
      <c r="A33" s="18" t="s">
        <v>18</v>
      </c>
      <c r="B33" s="18" t="s">
        <v>38</v>
      </c>
      <c r="C33" s="19">
        <v>0.200128</v>
      </c>
      <c r="D33" s="19">
        <v>38.050896</v>
      </c>
      <c r="E33" s="19">
        <v>15.894987</v>
      </c>
      <c r="F33" s="19">
        <v>0.843862</v>
      </c>
      <c r="G33" s="19">
        <v>0.703003</v>
      </c>
      <c r="H33" s="19">
        <v>25.770061</v>
      </c>
      <c r="I33" s="19">
        <v>0.685302566568074</v>
      </c>
      <c r="J33" s="19">
        <v>0.917</v>
      </c>
      <c r="K33" s="19"/>
      <c r="L33" s="16" t="b">
        <v>0</v>
      </c>
      <c r="M33" s="18">
        <f t="shared" si="4"/>
        <v>-0.01142319647</v>
      </c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ht="15.75" customHeight="1">
      <c r="A34" s="18" t="s">
        <v>18</v>
      </c>
      <c r="B34" s="18" t="s">
        <v>39</v>
      </c>
      <c r="C34" s="19">
        <v>3.340128</v>
      </c>
      <c r="D34" s="19">
        <v>415.711596</v>
      </c>
      <c r="E34" s="19">
        <v>46.754888</v>
      </c>
      <c r="F34" s="19">
        <v>0.768012</v>
      </c>
      <c r="G34" s="19">
        <v>1.245651</v>
      </c>
      <c r="H34" s="19">
        <v>38.6992</v>
      </c>
      <c r="I34" s="19">
        <v>0.925937393162393</v>
      </c>
      <c r="J34" s="19">
        <v>0.921</v>
      </c>
      <c r="K34" s="19"/>
      <c r="L34" s="16" t="b">
        <v>0</v>
      </c>
      <c r="M34" s="18">
        <f t="shared" si="4"/>
        <v>-0.04430527066</v>
      </c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ht="15.75" customHeight="1">
      <c r="A35" s="18" t="s">
        <v>18</v>
      </c>
      <c r="B35" s="18" t="s">
        <v>40</v>
      </c>
      <c r="C35" s="19">
        <v>162.039016</v>
      </c>
      <c r="D35" s="19">
        <v>32531.630601</v>
      </c>
      <c r="E35" s="19">
        <v>2657.12625</v>
      </c>
      <c r="F35" s="19">
        <v>8.049807</v>
      </c>
      <c r="G35" s="19">
        <v>70.083053</v>
      </c>
      <c r="H35" s="19">
        <v>295.088169</v>
      </c>
      <c r="I35" s="19">
        <v>0.867019355677629</v>
      </c>
      <c r="J35" s="19">
        <v>0.978</v>
      </c>
      <c r="K35" s="19"/>
      <c r="L35" s="16" t="b">
        <v>1</v>
      </c>
      <c r="M35" s="18">
        <f t="shared" si="4"/>
        <v>0.1413501886</v>
      </c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ht="15.75" customHeight="1">
      <c r="A36" s="18" t="s">
        <v>18</v>
      </c>
      <c r="B36" s="18" t="s">
        <v>41</v>
      </c>
      <c r="C36" s="19">
        <v>18.712096</v>
      </c>
      <c r="D36" s="19">
        <v>2997.100946</v>
      </c>
      <c r="E36" s="19">
        <v>271.963851</v>
      </c>
      <c r="F36" s="19">
        <v>1.853129</v>
      </c>
      <c r="G36" s="19">
        <v>6.305529</v>
      </c>
      <c r="H36" s="19">
        <v>98.561018</v>
      </c>
      <c r="I36" s="19">
        <v>0.931190988174453</v>
      </c>
      <c r="J36" s="19">
        <v>1.0</v>
      </c>
      <c r="K36" s="19"/>
      <c r="L36" s="16" t="b">
        <v>1</v>
      </c>
      <c r="M36" s="18">
        <f t="shared" si="4"/>
        <v>0.04129756931</v>
      </c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ht="15.75" customHeight="1">
      <c r="A37" s="18" t="s">
        <v>18</v>
      </c>
      <c r="B37" s="18" t="s">
        <v>37</v>
      </c>
      <c r="C37" s="19">
        <v>255.645408</v>
      </c>
      <c r="D37" s="19">
        <v>53751.366715</v>
      </c>
      <c r="E37" s="19">
        <v>3483.099878</v>
      </c>
      <c r="F37" s="19">
        <v>9.562188</v>
      </c>
      <c r="G37" s="19">
        <v>70.7207</v>
      </c>
      <c r="H37" s="19">
        <v>336.707852</v>
      </c>
      <c r="I37" s="19">
        <v>0.933603114374824</v>
      </c>
      <c r="J37" s="19">
        <v>1.0</v>
      </c>
      <c r="K37" s="19"/>
      <c r="L37" s="16" t="b">
        <v>1</v>
      </c>
      <c r="M37" s="18">
        <f t="shared" si="4"/>
        <v>0.3009632675</v>
      </c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</row>
    <row r="38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</row>
    <row r="39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</row>
    <row r="40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</row>
    <row r="41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</row>
    <row r="45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</row>
    <row r="4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</row>
    <row r="47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</row>
    <row r="48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</row>
    <row r="49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</row>
    <row r="50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</row>
    <row r="51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</row>
    <row r="52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</row>
    <row r="53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</row>
    <row r="54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</row>
    <row r="55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</row>
    <row r="5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</row>
    <row r="57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</row>
    <row r="58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</row>
    <row r="59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</row>
    <row r="60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</row>
    <row r="61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</row>
    <row r="62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</row>
    <row r="63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</row>
    <row r="64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</row>
    <row r="65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</row>
    <row r="6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</row>
    <row r="67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</row>
    <row r="68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</row>
    <row r="69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</row>
    <row r="72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</row>
    <row r="7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</row>
    <row r="77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</row>
    <row r="78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</row>
    <row r="79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</row>
    <row r="80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</row>
    <row r="81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</row>
    <row r="82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</row>
    <row r="83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</row>
    <row r="84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</row>
    <row r="85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</row>
    <row r="19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</row>
    <row r="197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</row>
    <row r="198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</row>
    <row r="199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</row>
    <row r="200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</row>
    <row r="201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</row>
    <row r="202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</row>
    <row r="203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</row>
    <row r="204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</row>
    <row r="205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</row>
    <row r="20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</row>
    <row r="207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</row>
    <row r="208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</row>
    <row r="209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</row>
    <row r="210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</row>
    <row r="211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</row>
    <row r="212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</row>
    <row r="213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</row>
    <row r="214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</row>
    <row r="215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</row>
    <row r="216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</row>
    <row r="217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</row>
    <row r="218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</row>
    <row r="219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</row>
    <row r="220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</row>
    <row r="221" ht="15.7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</row>
    <row r="222" ht="15.7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</row>
    <row r="223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</row>
    <row r="224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</row>
    <row r="225" ht="15.7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</row>
    <row r="226" ht="15.7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</row>
    <row r="227" ht="15.7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</row>
    <row r="228" ht="15.7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</row>
    <row r="229" ht="15.7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</row>
    <row r="230" ht="15.7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</row>
    <row r="231" ht="15.7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</row>
    <row r="232" ht="15.7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</row>
    <row r="233" ht="15.7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</row>
    <row r="234" ht="15.7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</row>
    <row r="235" ht="15.7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</row>
    <row r="236" ht="15.7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</row>
    <row r="237" ht="15.7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</row>
    <row r="238" ht="15.75" customHeight="1">
      <c r="A238" s="13"/>
      <c r="B238" s="13"/>
      <c r="C238" s="13"/>
      <c r="D238" s="13"/>
      <c r="E238" s="13"/>
      <c r="F238" s="13"/>
      <c r="M238" s="13"/>
    </row>
    <row r="239" ht="15.75" customHeight="1">
      <c r="A239" s="13"/>
      <c r="B239" s="13"/>
      <c r="C239" s="13"/>
      <c r="D239" s="13"/>
      <c r="E239" s="13"/>
      <c r="F239" s="13"/>
      <c r="M239" s="13"/>
    </row>
    <row r="240" ht="15.75" customHeight="1">
      <c r="A240" s="13"/>
      <c r="B240" s="13"/>
      <c r="C240" s="13"/>
      <c r="D240" s="13"/>
      <c r="E240" s="13"/>
      <c r="F240" s="13"/>
      <c r="M240" s="13"/>
    </row>
    <row r="241" ht="15.75" customHeight="1">
      <c r="A241" s="13"/>
      <c r="B241" s="13"/>
      <c r="C241" s="13"/>
      <c r="D241" s="13"/>
      <c r="E241" s="13"/>
      <c r="F241" s="13"/>
      <c r="M241" s="13"/>
    </row>
    <row r="242" ht="15.75" customHeight="1">
      <c r="A242" s="13"/>
      <c r="B242" s="13"/>
      <c r="C242" s="13"/>
      <c r="D242" s="13"/>
      <c r="E242" s="13"/>
      <c r="F242" s="13"/>
      <c r="M242" s="13"/>
    </row>
    <row r="243" ht="15.75" customHeight="1">
      <c r="A243" s="13"/>
      <c r="B243" s="13"/>
      <c r="C243" s="13"/>
      <c r="D243" s="13"/>
      <c r="E243" s="13"/>
      <c r="F243" s="13"/>
      <c r="M243" s="13"/>
    </row>
    <row r="244" ht="15.75" customHeight="1">
      <c r="A244" s="13"/>
      <c r="B244" s="13"/>
      <c r="C244" s="13"/>
      <c r="D244" s="13"/>
      <c r="E244" s="13"/>
      <c r="F244" s="13"/>
      <c r="M244" s="13"/>
    </row>
    <row r="245" ht="15.75" customHeight="1">
      <c r="A245" s="13"/>
      <c r="B245" s="13"/>
      <c r="C245" s="13"/>
      <c r="D245" s="13"/>
      <c r="E245" s="13"/>
      <c r="F245" s="13"/>
      <c r="M245" s="13"/>
    </row>
    <row r="246" ht="15.75" customHeight="1">
      <c r="A246" s="13"/>
      <c r="B246" s="13"/>
      <c r="C246" s="13"/>
      <c r="D246" s="13"/>
      <c r="E246" s="13"/>
      <c r="F246" s="13"/>
      <c r="M246" s="13"/>
    </row>
    <row r="247" ht="15.75" customHeight="1">
      <c r="A247" s="13"/>
      <c r="B247" s="13"/>
      <c r="C247" s="13"/>
      <c r="D247" s="13"/>
      <c r="E247" s="13"/>
      <c r="F247" s="13"/>
      <c r="M247" s="13"/>
    </row>
    <row r="248" ht="15.75" customHeight="1">
      <c r="A248" s="13"/>
      <c r="B248" s="13"/>
      <c r="C248" s="13"/>
      <c r="D248" s="13"/>
      <c r="E248" s="13"/>
      <c r="F248" s="13"/>
      <c r="M248" s="13"/>
    </row>
    <row r="249" ht="15.75" customHeight="1">
      <c r="A249" s="13"/>
      <c r="B249" s="13"/>
      <c r="C249" s="13"/>
      <c r="D249" s="13"/>
      <c r="E249" s="13"/>
      <c r="F249" s="13"/>
      <c r="M249" s="13"/>
    </row>
    <row r="250" ht="15.75" customHeight="1">
      <c r="A250" s="13"/>
      <c r="B250" s="13"/>
      <c r="C250" s="13"/>
      <c r="D250" s="13"/>
      <c r="E250" s="13"/>
      <c r="F250" s="13"/>
      <c r="M250" s="13"/>
    </row>
    <row r="251" ht="15.75" customHeight="1">
      <c r="A251" s="13"/>
      <c r="B251" s="13"/>
      <c r="C251" s="13"/>
      <c r="D251" s="13"/>
      <c r="E251" s="13"/>
      <c r="F251" s="13"/>
      <c r="M251" s="13"/>
    </row>
    <row r="252" ht="15.75" customHeight="1">
      <c r="A252" s="13"/>
      <c r="B252" s="13"/>
      <c r="C252" s="13"/>
      <c r="D252" s="13"/>
      <c r="E252" s="13"/>
      <c r="F252" s="13"/>
      <c r="M252" s="13"/>
    </row>
    <row r="253" ht="15.75" customHeight="1">
      <c r="A253" s="13"/>
      <c r="B253" s="13"/>
      <c r="C253" s="13"/>
      <c r="D253" s="13"/>
      <c r="E253" s="13"/>
      <c r="F253" s="13"/>
      <c r="M253" s="13"/>
    </row>
    <row r="254" ht="15.75" customHeight="1">
      <c r="A254" s="13"/>
      <c r="B254" s="13"/>
      <c r="C254" s="13"/>
      <c r="D254" s="13"/>
      <c r="E254" s="13"/>
      <c r="F254" s="13"/>
      <c r="M254" s="13"/>
    </row>
    <row r="255" ht="15.75" customHeight="1">
      <c r="A255" s="13"/>
      <c r="B255" s="13"/>
      <c r="C255" s="13"/>
      <c r="D255" s="13"/>
      <c r="E255" s="13"/>
      <c r="F255" s="13"/>
      <c r="M255" s="13"/>
    </row>
    <row r="256" ht="15.75" customHeight="1">
      <c r="A256" s="13"/>
      <c r="B256" s="13"/>
      <c r="C256" s="13"/>
      <c r="D256" s="13"/>
      <c r="E256" s="13"/>
      <c r="F256" s="13"/>
      <c r="M256" s="13"/>
    </row>
    <row r="257" ht="15.75" customHeight="1">
      <c r="A257" s="13"/>
      <c r="B257" s="13"/>
      <c r="C257" s="13"/>
      <c r="D257" s="13"/>
      <c r="E257" s="13"/>
      <c r="F257" s="13"/>
      <c r="M257" s="13"/>
    </row>
    <row r="258" ht="15.75" customHeight="1">
      <c r="A258" s="13"/>
      <c r="B258" s="13"/>
      <c r="C258" s="13"/>
      <c r="D258" s="13"/>
      <c r="E258" s="13"/>
      <c r="F258" s="13"/>
      <c r="M258" s="13"/>
    </row>
    <row r="259" ht="15.75" customHeight="1">
      <c r="A259" s="13"/>
      <c r="B259" s="13"/>
      <c r="C259" s="13"/>
      <c r="D259" s="13"/>
      <c r="E259" s="13"/>
      <c r="F259" s="13"/>
      <c r="M259" s="13"/>
    </row>
    <row r="260" ht="15.75" customHeight="1">
      <c r="A260" s="13"/>
      <c r="B260" s="13"/>
      <c r="C260" s="13"/>
      <c r="D260" s="13"/>
      <c r="E260" s="13"/>
      <c r="F260" s="13"/>
      <c r="M260" s="13"/>
    </row>
    <row r="261" ht="15.75" customHeight="1">
      <c r="A261" s="13"/>
      <c r="B261" s="13"/>
      <c r="C261" s="13"/>
      <c r="D261" s="13"/>
      <c r="E261" s="13"/>
      <c r="F261" s="13"/>
      <c r="M261" s="13"/>
    </row>
    <row r="262" ht="15.75" customHeight="1">
      <c r="A262" s="13"/>
      <c r="B262" s="13"/>
      <c r="C262" s="13"/>
      <c r="D262" s="13"/>
      <c r="E262" s="13"/>
      <c r="F262" s="13"/>
      <c r="M262" s="13"/>
    </row>
    <row r="263" ht="15.75" customHeight="1">
      <c r="A263" s="13"/>
      <c r="B263" s="13"/>
      <c r="C263" s="13"/>
      <c r="D263" s="13"/>
      <c r="E263" s="13"/>
      <c r="F263" s="13"/>
      <c r="M263" s="13"/>
    </row>
    <row r="264" ht="15.75" customHeight="1">
      <c r="A264" s="13"/>
      <c r="B264" s="13"/>
      <c r="C264" s="13"/>
      <c r="D264" s="13"/>
      <c r="E264" s="13"/>
      <c r="F264" s="13"/>
      <c r="M264" s="13"/>
    </row>
    <row r="265" ht="15.75" customHeight="1">
      <c r="A265" s="13"/>
      <c r="B265" s="13"/>
      <c r="C265" s="13"/>
      <c r="D265" s="13"/>
      <c r="E265" s="13"/>
      <c r="F265" s="13"/>
      <c r="M265" s="13"/>
    </row>
    <row r="266" ht="15.75" customHeight="1">
      <c r="A266" s="13"/>
      <c r="B266" s="13"/>
      <c r="C266" s="13"/>
      <c r="D266" s="13"/>
      <c r="E266" s="13"/>
      <c r="F266" s="13"/>
      <c r="M266" s="13"/>
    </row>
    <row r="267" ht="15.75" customHeight="1">
      <c r="A267" s="13"/>
      <c r="B267" s="13"/>
      <c r="C267" s="13"/>
      <c r="D267" s="13"/>
      <c r="E267" s="13"/>
      <c r="F267" s="13"/>
      <c r="M267" s="13"/>
    </row>
    <row r="268" ht="15.75" customHeight="1">
      <c r="A268" s="13"/>
      <c r="B268" s="13"/>
      <c r="C268" s="13"/>
      <c r="D268" s="13"/>
      <c r="E268" s="13"/>
      <c r="F268" s="13"/>
      <c r="M268" s="13"/>
    </row>
    <row r="269" ht="15.75" customHeight="1">
      <c r="A269" s="13"/>
      <c r="B269" s="13"/>
      <c r="C269" s="13"/>
      <c r="D269" s="13"/>
      <c r="E269" s="13"/>
      <c r="F269" s="13"/>
      <c r="M269" s="13"/>
    </row>
    <row r="270" ht="15.75" customHeight="1">
      <c r="A270" s="13"/>
      <c r="B270" s="13"/>
      <c r="C270" s="13"/>
      <c r="D270" s="13"/>
      <c r="E270" s="13"/>
      <c r="F270" s="13"/>
      <c r="M270" s="13"/>
    </row>
    <row r="271" ht="15.75" customHeight="1">
      <c r="A271" s="13"/>
      <c r="B271" s="13"/>
      <c r="C271" s="13"/>
      <c r="D271" s="13"/>
      <c r="E271" s="13"/>
      <c r="F271" s="13"/>
      <c r="M271" s="13"/>
    </row>
    <row r="272" ht="15.75" customHeight="1">
      <c r="A272" s="13"/>
      <c r="B272" s="13"/>
      <c r="C272" s="13"/>
      <c r="D272" s="13"/>
      <c r="E272" s="13"/>
      <c r="F272" s="13"/>
      <c r="M272" s="13"/>
    </row>
    <row r="273" ht="15.75" customHeight="1">
      <c r="A273" s="13"/>
      <c r="B273" s="13"/>
      <c r="C273" s="13"/>
      <c r="D273" s="13"/>
      <c r="E273" s="13"/>
      <c r="F273" s="13"/>
      <c r="M273" s="13"/>
    </row>
    <row r="274" ht="15.75" customHeight="1">
      <c r="A274" s="13"/>
      <c r="B274" s="13"/>
      <c r="C274" s="13"/>
      <c r="D274" s="13"/>
      <c r="E274" s="13"/>
      <c r="F274" s="13"/>
      <c r="M274" s="13"/>
    </row>
    <row r="275" ht="15.75" customHeight="1">
      <c r="A275" s="13"/>
      <c r="B275" s="13"/>
      <c r="C275" s="13"/>
      <c r="D275" s="13"/>
      <c r="E275" s="13"/>
      <c r="F275" s="13"/>
      <c r="M275" s="13"/>
    </row>
    <row r="276" ht="15.75" customHeight="1">
      <c r="A276" s="13"/>
      <c r="B276" s="13"/>
      <c r="C276" s="13"/>
      <c r="D276" s="13"/>
      <c r="E276" s="13"/>
      <c r="F276" s="13"/>
      <c r="M276" s="13"/>
    </row>
    <row r="277" ht="15.75" customHeight="1">
      <c r="A277" s="13"/>
      <c r="B277" s="13"/>
      <c r="C277" s="13"/>
      <c r="D277" s="13"/>
      <c r="E277" s="13"/>
      <c r="F277" s="13"/>
      <c r="M277" s="13"/>
    </row>
    <row r="278" ht="15.75" customHeight="1">
      <c r="A278" s="13"/>
      <c r="B278" s="13"/>
      <c r="C278" s="13"/>
      <c r="D278" s="13"/>
      <c r="E278" s="13"/>
      <c r="F278" s="13"/>
      <c r="M278" s="13"/>
    </row>
    <row r="279" ht="15.75" customHeight="1">
      <c r="A279" s="13"/>
      <c r="B279" s="13"/>
      <c r="C279" s="13"/>
      <c r="D279" s="13"/>
      <c r="E279" s="13"/>
      <c r="F279" s="13"/>
      <c r="M279" s="13"/>
    </row>
    <row r="280" ht="15.75" customHeight="1">
      <c r="A280" s="13"/>
      <c r="B280" s="13"/>
      <c r="C280" s="13"/>
      <c r="D280" s="13"/>
      <c r="E280" s="13"/>
      <c r="F280" s="13"/>
      <c r="M280" s="13"/>
    </row>
    <row r="281" ht="15.75" customHeight="1">
      <c r="A281" s="13"/>
      <c r="B281" s="13"/>
      <c r="C281" s="13"/>
      <c r="D281" s="13"/>
      <c r="E281" s="13"/>
      <c r="F281" s="13"/>
      <c r="M281" s="13"/>
    </row>
    <row r="282" ht="15.75" customHeight="1">
      <c r="A282" s="13"/>
      <c r="B282" s="13"/>
      <c r="C282" s="13"/>
      <c r="D282" s="13"/>
      <c r="E282" s="13"/>
      <c r="F282" s="13"/>
      <c r="M282" s="13"/>
    </row>
    <row r="283" ht="15.75" customHeight="1">
      <c r="A283" s="13"/>
      <c r="B283" s="13"/>
      <c r="C283" s="13"/>
      <c r="D283" s="13"/>
      <c r="E283" s="13"/>
      <c r="F283" s="13"/>
      <c r="M283" s="13"/>
    </row>
    <row r="284" ht="15.75" customHeight="1">
      <c r="A284" s="13"/>
      <c r="B284" s="13"/>
      <c r="C284" s="13"/>
      <c r="D284" s="13"/>
      <c r="E284" s="13"/>
      <c r="F284" s="13"/>
      <c r="M284" s="13"/>
    </row>
    <row r="285" ht="15.75" customHeight="1">
      <c r="A285" s="13"/>
      <c r="B285" s="13"/>
      <c r="C285" s="13"/>
      <c r="D285" s="13"/>
      <c r="E285" s="13"/>
      <c r="F285" s="13"/>
      <c r="M285" s="13"/>
    </row>
    <row r="286" ht="15.75" customHeight="1">
      <c r="A286" s="13"/>
      <c r="B286" s="13"/>
      <c r="C286" s="13"/>
      <c r="D286" s="13"/>
      <c r="E286" s="13"/>
      <c r="F286" s="13"/>
      <c r="M286" s="13"/>
    </row>
    <row r="287" ht="15.75" customHeight="1">
      <c r="A287" s="13"/>
      <c r="B287" s="13"/>
      <c r="C287" s="13"/>
      <c r="D287" s="13"/>
      <c r="E287" s="13"/>
      <c r="F287" s="13"/>
      <c r="M287" s="13"/>
    </row>
    <row r="288" ht="15.75" customHeight="1">
      <c r="A288" s="13"/>
      <c r="B288" s="13"/>
      <c r="C288" s="13"/>
      <c r="D288" s="13"/>
      <c r="E288" s="13"/>
      <c r="F288" s="13"/>
      <c r="M288" s="13"/>
    </row>
    <row r="289" ht="15.75" customHeight="1">
      <c r="A289" s="13"/>
      <c r="B289" s="13"/>
      <c r="C289" s="13"/>
      <c r="D289" s="13"/>
      <c r="E289" s="13"/>
      <c r="F289" s="13"/>
      <c r="M289" s="13"/>
    </row>
    <row r="290" ht="15.75" customHeight="1">
      <c r="A290" s="13"/>
      <c r="B290" s="13"/>
      <c r="C290" s="13"/>
      <c r="D290" s="13"/>
      <c r="E290" s="13"/>
      <c r="F290" s="13"/>
      <c r="M290" s="13"/>
    </row>
    <row r="291" ht="15.75" customHeight="1">
      <c r="A291" s="13"/>
      <c r="B291" s="13"/>
      <c r="C291" s="13"/>
      <c r="D291" s="13"/>
      <c r="E291" s="13"/>
      <c r="F291" s="13"/>
      <c r="M291" s="13"/>
    </row>
    <row r="292" ht="15.75" customHeight="1">
      <c r="A292" s="13"/>
      <c r="B292" s="13"/>
      <c r="C292" s="13"/>
      <c r="D292" s="13"/>
      <c r="E292" s="13"/>
      <c r="F292" s="13"/>
      <c r="M292" s="13"/>
    </row>
    <row r="293" ht="15.75" customHeight="1">
      <c r="A293" s="13"/>
      <c r="B293" s="13"/>
      <c r="C293" s="13"/>
      <c r="D293" s="13"/>
      <c r="E293" s="13"/>
      <c r="F293" s="13"/>
      <c r="M293" s="13"/>
    </row>
    <row r="294" ht="15.75" customHeight="1">
      <c r="A294" s="13"/>
      <c r="B294" s="13"/>
      <c r="C294" s="13"/>
      <c r="D294" s="13"/>
      <c r="E294" s="13"/>
      <c r="F294" s="13"/>
      <c r="M294" s="13"/>
    </row>
    <row r="295" ht="15.75" customHeight="1">
      <c r="A295" s="13"/>
      <c r="B295" s="13"/>
      <c r="C295" s="13"/>
      <c r="D295" s="13"/>
      <c r="E295" s="13"/>
      <c r="F295" s="13"/>
      <c r="M295" s="13"/>
    </row>
    <row r="296" ht="15.75" customHeight="1">
      <c r="A296" s="13"/>
      <c r="B296" s="13"/>
      <c r="C296" s="13"/>
      <c r="D296" s="13"/>
      <c r="E296" s="13"/>
      <c r="F296" s="13"/>
      <c r="M296" s="13"/>
    </row>
    <row r="297" ht="15.75" customHeight="1">
      <c r="A297" s="13"/>
      <c r="B297" s="13"/>
      <c r="C297" s="13"/>
      <c r="D297" s="13"/>
      <c r="E297" s="13"/>
      <c r="F297" s="13"/>
      <c r="M297" s="13"/>
    </row>
    <row r="298" ht="15.75" customHeight="1">
      <c r="A298" s="13"/>
      <c r="B298" s="13"/>
      <c r="C298" s="13"/>
      <c r="D298" s="13"/>
      <c r="E298" s="13"/>
      <c r="F298" s="13"/>
      <c r="M298" s="13"/>
    </row>
    <row r="299" ht="15.75" customHeight="1">
      <c r="A299" s="13"/>
      <c r="B299" s="13"/>
      <c r="C299" s="13"/>
      <c r="D299" s="13"/>
      <c r="E299" s="13"/>
      <c r="F299" s="13"/>
      <c r="M299" s="13"/>
    </row>
    <row r="300" ht="15.75" customHeight="1">
      <c r="A300" s="13"/>
      <c r="B300" s="13"/>
      <c r="C300" s="13"/>
      <c r="D300" s="13"/>
      <c r="E300" s="13"/>
      <c r="F300" s="13"/>
      <c r="M300" s="13"/>
    </row>
    <row r="301" ht="15.75" customHeight="1">
      <c r="A301" s="13"/>
      <c r="B301" s="13"/>
      <c r="C301" s="13"/>
      <c r="D301" s="13"/>
      <c r="E301" s="13"/>
      <c r="F301" s="13"/>
      <c r="M301" s="13"/>
    </row>
    <row r="302" ht="15.75" customHeight="1">
      <c r="A302" s="13"/>
      <c r="B302" s="13"/>
      <c r="C302" s="13"/>
      <c r="D302" s="13"/>
      <c r="E302" s="13"/>
      <c r="F302" s="13"/>
      <c r="M302" s="13"/>
    </row>
    <row r="303" ht="15.75" customHeight="1">
      <c r="A303" s="13"/>
      <c r="B303" s="13"/>
      <c r="C303" s="13"/>
      <c r="D303" s="13"/>
      <c r="E303" s="13"/>
      <c r="F303" s="13"/>
      <c r="M303" s="13"/>
    </row>
    <row r="304" ht="15.75" customHeight="1">
      <c r="A304" s="13"/>
      <c r="B304" s="13"/>
      <c r="C304" s="13"/>
      <c r="D304" s="13"/>
      <c r="E304" s="13"/>
      <c r="F304" s="13"/>
      <c r="M304" s="13"/>
    </row>
    <row r="305" ht="15.75" customHeight="1">
      <c r="A305" s="13"/>
      <c r="B305" s="13"/>
      <c r="C305" s="13"/>
      <c r="D305" s="13"/>
      <c r="E305" s="13"/>
      <c r="F305" s="13"/>
      <c r="M305" s="13"/>
    </row>
    <row r="306" ht="15.75" customHeight="1">
      <c r="A306" s="13"/>
      <c r="B306" s="13"/>
      <c r="C306" s="13"/>
      <c r="D306" s="13"/>
      <c r="E306" s="13"/>
      <c r="F306" s="13"/>
      <c r="M306" s="13"/>
    </row>
    <row r="307" ht="15.75" customHeight="1">
      <c r="A307" s="13"/>
      <c r="B307" s="13"/>
      <c r="C307" s="13"/>
      <c r="D307" s="13"/>
      <c r="E307" s="13"/>
      <c r="F307" s="13"/>
      <c r="M307" s="13"/>
    </row>
    <row r="308" ht="15.75" customHeight="1">
      <c r="A308" s="13"/>
      <c r="B308" s="13"/>
      <c r="C308" s="13"/>
      <c r="D308" s="13"/>
      <c r="E308" s="13"/>
      <c r="F308" s="13"/>
      <c r="M308" s="13"/>
    </row>
    <row r="309" ht="15.75" customHeight="1">
      <c r="A309" s="13"/>
      <c r="B309" s="13"/>
      <c r="C309" s="13"/>
      <c r="D309" s="13"/>
      <c r="E309" s="13"/>
      <c r="F309" s="13"/>
      <c r="M309" s="13"/>
    </row>
    <row r="310" ht="15.75" customHeight="1">
      <c r="A310" s="13"/>
      <c r="B310" s="13"/>
      <c r="C310" s="13"/>
      <c r="D310" s="13"/>
      <c r="E310" s="13"/>
      <c r="F310" s="13"/>
      <c r="M310" s="13"/>
    </row>
    <row r="311" ht="15.75" customHeight="1">
      <c r="A311" s="13"/>
      <c r="B311" s="13"/>
      <c r="C311" s="13"/>
      <c r="D311" s="13"/>
      <c r="E311" s="13"/>
      <c r="F311" s="13"/>
      <c r="M311" s="13"/>
    </row>
    <row r="312" ht="15.75" customHeight="1">
      <c r="A312" s="13"/>
      <c r="B312" s="13"/>
      <c r="C312" s="13"/>
      <c r="D312" s="13"/>
      <c r="E312" s="13"/>
      <c r="F312" s="13"/>
      <c r="M312" s="13"/>
    </row>
    <row r="313" ht="15.75" customHeight="1">
      <c r="A313" s="13"/>
      <c r="B313" s="13"/>
      <c r="C313" s="13"/>
      <c r="D313" s="13"/>
      <c r="E313" s="13"/>
      <c r="F313" s="13"/>
      <c r="M313" s="13"/>
    </row>
    <row r="314" ht="15.75" customHeight="1">
      <c r="A314" s="13"/>
      <c r="B314" s="13"/>
      <c r="C314" s="13"/>
      <c r="D314" s="13"/>
      <c r="E314" s="13"/>
      <c r="F314" s="13"/>
      <c r="M314" s="13"/>
    </row>
    <row r="315" ht="15.75" customHeight="1">
      <c r="A315" s="13"/>
      <c r="B315" s="13"/>
      <c r="C315" s="13"/>
      <c r="D315" s="13"/>
      <c r="E315" s="13"/>
      <c r="F315" s="13"/>
      <c r="M315" s="13"/>
    </row>
    <row r="316" ht="15.75" customHeight="1">
      <c r="A316" s="13"/>
      <c r="B316" s="13"/>
      <c r="C316" s="13"/>
      <c r="D316" s="13"/>
      <c r="E316" s="13"/>
      <c r="F316" s="13"/>
      <c r="M316" s="13"/>
    </row>
    <row r="317" ht="15.75" customHeight="1">
      <c r="A317" s="13"/>
      <c r="B317" s="13"/>
      <c r="C317" s="13"/>
      <c r="D317" s="13"/>
      <c r="E317" s="13"/>
      <c r="F317" s="13"/>
      <c r="M317" s="13"/>
    </row>
    <row r="318" ht="15.75" customHeight="1">
      <c r="A318" s="13"/>
      <c r="B318" s="13"/>
      <c r="C318" s="13"/>
      <c r="D318" s="13"/>
      <c r="E318" s="13"/>
      <c r="F318" s="13"/>
      <c r="M318" s="13"/>
    </row>
    <row r="319" ht="15.75" customHeight="1">
      <c r="A319" s="13"/>
      <c r="B319" s="13"/>
      <c r="C319" s="13"/>
      <c r="D319" s="13"/>
      <c r="E319" s="13"/>
      <c r="F319" s="13"/>
      <c r="M319" s="13"/>
    </row>
    <row r="320" ht="15.75" customHeight="1">
      <c r="A320" s="13"/>
      <c r="B320" s="13"/>
      <c r="C320" s="13"/>
      <c r="D320" s="13"/>
      <c r="E320" s="13"/>
      <c r="F320" s="13"/>
      <c r="M320" s="13"/>
    </row>
    <row r="321" ht="15.75" customHeight="1">
      <c r="A321" s="13"/>
      <c r="B321" s="13"/>
      <c r="C321" s="13"/>
      <c r="D321" s="13"/>
      <c r="E321" s="13"/>
      <c r="F321" s="13"/>
      <c r="M321" s="13"/>
    </row>
    <row r="322" ht="15.75" customHeight="1">
      <c r="A322" s="13"/>
      <c r="B322" s="13"/>
      <c r="C322" s="13"/>
      <c r="D322" s="13"/>
      <c r="E322" s="13"/>
      <c r="F322" s="13"/>
      <c r="M322" s="13"/>
    </row>
    <row r="323" ht="15.75" customHeight="1">
      <c r="A323" s="13"/>
      <c r="B323" s="13"/>
      <c r="C323" s="13"/>
      <c r="D323" s="13"/>
      <c r="E323" s="13"/>
      <c r="F323" s="13"/>
      <c r="M323" s="13"/>
    </row>
    <row r="324" ht="15.75" customHeight="1">
      <c r="A324" s="13"/>
      <c r="B324" s="13"/>
      <c r="C324" s="13"/>
      <c r="D324" s="13"/>
      <c r="E324" s="13"/>
      <c r="F324" s="13"/>
      <c r="M324" s="13"/>
    </row>
    <row r="325" ht="15.75" customHeight="1">
      <c r="A325" s="13"/>
      <c r="B325" s="13"/>
      <c r="C325" s="13"/>
      <c r="D325" s="13"/>
      <c r="E325" s="13"/>
      <c r="F325" s="13"/>
      <c r="M325" s="13"/>
    </row>
    <row r="326" ht="15.75" customHeight="1">
      <c r="A326" s="13"/>
      <c r="B326" s="13"/>
      <c r="C326" s="13"/>
      <c r="D326" s="13"/>
      <c r="E326" s="13"/>
      <c r="F326" s="13"/>
      <c r="M326" s="13"/>
    </row>
    <row r="327" ht="15.75" customHeight="1">
      <c r="A327" s="13"/>
      <c r="B327" s="13"/>
      <c r="C327" s="13"/>
      <c r="D327" s="13"/>
      <c r="E327" s="13"/>
      <c r="F327" s="13"/>
      <c r="M327" s="13"/>
    </row>
    <row r="328" ht="15.75" customHeight="1">
      <c r="A328" s="13"/>
      <c r="B328" s="13"/>
      <c r="C328" s="13"/>
      <c r="D328" s="13"/>
      <c r="E328" s="13"/>
      <c r="F328" s="13"/>
      <c r="M328" s="13"/>
    </row>
    <row r="329" ht="15.75" customHeight="1">
      <c r="A329" s="13"/>
      <c r="B329" s="13"/>
      <c r="C329" s="13"/>
      <c r="D329" s="13"/>
      <c r="E329" s="13"/>
      <c r="F329" s="13"/>
      <c r="M329" s="13"/>
    </row>
    <row r="330" ht="15.75" customHeight="1">
      <c r="A330" s="13"/>
      <c r="B330" s="13"/>
      <c r="C330" s="13"/>
      <c r="D330" s="13"/>
      <c r="E330" s="13"/>
      <c r="F330" s="13"/>
      <c r="M330" s="13"/>
    </row>
    <row r="331" ht="15.75" customHeight="1">
      <c r="A331" s="13"/>
      <c r="B331" s="13"/>
      <c r="C331" s="13"/>
      <c r="D331" s="13"/>
      <c r="E331" s="13"/>
      <c r="F331" s="13"/>
      <c r="M331" s="13"/>
    </row>
    <row r="332" ht="15.75" customHeight="1">
      <c r="A332" s="13"/>
      <c r="B332" s="13"/>
      <c r="C332" s="13"/>
      <c r="D332" s="13"/>
      <c r="E332" s="13"/>
      <c r="F332" s="13"/>
      <c r="M332" s="13"/>
    </row>
    <row r="333" ht="15.75" customHeight="1">
      <c r="A333" s="13"/>
      <c r="B333" s="13"/>
      <c r="C333" s="13"/>
      <c r="D333" s="13"/>
      <c r="E333" s="13"/>
      <c r="F333" s="13"/>
      <c r="M333" s="13"/>
    </row>
    <row r="334" ht="15.75" customHeight="1">
      <c r="A334" s="13"/>
      <c r="B334" s="13"/>
      <c r="C334" s="13"/>
      <c r="D334" s="13"/>
      <c r="E334" s="13"/>
      <c r="F334" s="13"/>
      <c r="M334" s="13"/>
    </row>
    <row r="335" ht="15.75" customHeight="1">
      <c r="A335" s="13"/>
      <c r="B335" s="13"/>
      <c r="C335" s="13"/>
      <c r="D335" s="13"/>
      <c r="E335" s="13"/>
      <c r="F335" s="13"/>
      <c r="M335" s="13"/>
    </row>
    <row r="336" ht="15.75" customHeight="1">
      <c r="A336" s="13"/>
      <c r="B336" s="13"/>
      <c r="C336" s="13"/>
      <c r="D336" s="13"/>
      <c r="E336" s="13"/>
      <c r="F336" s="13"/>
      <c r="M336" s="13"/>
    </row>
    <row r="337" ht="15.75" customHeight="1">
      <c r="A337" s="13"/>
      <c r="B337" s="13"/>
      <c r="C337" s="13"/>
      <c r="D337" s="13"/>
      <c r="E337" s="13"/>
      <c r="F337" s="13"/>
      <c r="M337" s="13"/>
    </row>
    <row r="338" ht="15.75" customHeight="1">
      <c r="A338" s="13"/>
      <c r="B338" s="13"/>
      <c r="C338" s="13"/>
      <c r="D338" s="13"/>
      <c r="E338" s="13"/>
      <c r="F338" s="13"/>
      <c r="M338" s="13"/>
    </row>
    <row r="339" ht="15.75" customHeight="1">
      <c r="A339" s="13"/>
      <c r="B339" s="13"/>
      <c r="C339" s="13"/>
      <c r="D339" s="13"/>
      <c r="E339" s="13"/>
      <c r="F339" s="13"/>
      <c r="M339" s="13"/>
    </row>
    <row r="340" ht="15.75" customHeight="1">
      <c r="A340" s="13"/>
      <c r="B340" s="13"/>
      <c r="C340" s="13"/>
      <c r="D340" s="13"/>
      <c r="E340" s="13"/>
      <c r="F340" s="13"/>
      <c r="M340" s="13"/>
    </row>
    <row r="341" ht="15.75" customHeight="1">
      <c r="A341" s="13"/>
      <c r="B341" s="13"/>
      <c r="C341" s="13"/>
      <c r="D341" s="13"/>
      <c r="E341" s="13"/>
      <c r="F341" s="13"/>
      <c r="M341" s="13"/>
    </row>
    <row r="342" ht="15.75" customHeight="1">
      <c r="A342" s="13"/>
      <c r="B342" s="13"/>
      <c r="C342" s="13"/>
      <c r="D342" s="13"/>
      <c r="E342" s="13"/>
      <c r="F342" s="13"/>
      <c r="M342" s="13"/>
    </row>
    <row r="343" ht="15.75" customHeight="1">
      <c r="A343" s="13"/>
      <c r="B343" s="13"/>
      <c r="C343" s="13"/>
      <c r="D343" s="13"/>
      <c r="E343" s="13"/>
      <c r="F343" s="13"/>
      <c r="M343" s="13"/>
    </row>
    <row r="344" ht="15.75" customHeight="1">
      <c r="A344" s="13"/>
      <c r="B344" s="13"/>
      <c r="C344" s="13"/>
      <c r="D344" s="13"/>
      <c r="E344" s="13"/>
      <c r="F344" s="13"/>
      <c r="M344" s="13"/>
    </row>
    <row r="345" ht="15.75" customHeight="1">
      <c r="A345" s="13"/>
      <c r="B345" s="13"/>
      <c r="C345" s="13"/>
      <c r="D345" s="13"/>
      <c r="E345" s="13"/>
      <c r="F345" s="13"/>
      <c r="M345" s="13"/>
    </row>
    <row r="346" ht="15.75" customHeight="1">
      <c r="A346" s="13"/>
      <c r="B346" s="13"/>
      <c r="C346" s="13"/>
      <c r="D346" s="13"/>
      <c r="E346" s="13"/>
      <c r="F346" s="13"/>
      <c r="M346" s="13"/>
    </row>
    <row r="347" ht="15.75" customHeight="1">
      <c r="A347" s="13"/>
      <c r="B347" s="13"/>
      <c r="C347" s="13"/>
      <c r="D347" s="13"/>
      <c r="E347" s="13"/>
      <c r="F347" s="13"/>
      <c r="M347" s="13"/>
    </row>
    <row r="348" ht="15.75" customHeight="1">
      <c r="A348" s="13"/>
      <c r="B348" s="13"/>
      <c r="C348" s="13"/>
      <c r="D348" s="13"/>
      <c r="E348" s="13"/>
      <c r="F348" s="13"/>
      <c r="M348" s="13"/>
    </row>
    <row r="349" ht="15.75" customHeight="1">
      <c r="A349" s="13"/>
      <c r="B349" s="13"/>
      <c r="C349" s="13"/>
      <c r="D349" s="13"/>
      <c r="E349" s="13"/>
      <c r="F349" s="13"/>
      <c r="M349" s="13"/>
    </row>
    <row r="350" ht="15.75" customHeight="1">
      <c r="A350" s="13"/>
      <c r="B350" s="13"/>
      <c r="C350" s="13"/>
      <c r="D350" s="13"/>
      <c r="E350" s="13"/>
      <c r="F350" s="13"/>
      <c r="M350" s="13"/>
    </row>
    <row r="351" ht="15.75" customHeight="1">
      <c r="A351" s="13"/>
      <c r="B351" s="13"/>
      <c r="C351" s="13"/>
      <c r="D351" s="13"/>
      <c r="E351" s="13"/>
      <c r="F351" s="13"/>
      <c r="M351" s="13"/>
    </row>
    <row r="352" ht="15.75" customHeight="1">
      <c r="A352" s="13"/>
      <c r="B352" s="13"/>
      <c r="C352" s="13"/>
      <c r="D352" s="13"/>
      <c r="E352" s="13"/>
      <c r="F352" s="13"/>
      <c r="M352" s="13"/>
    </row>
    <row r="353" ht="15.75" customHeight="1">
      <c r="A353" s="13"/>
      <c r="B353" s="13"/>
      <c r="C353" s="13"/>
      <c r="D353" s="13"/>
      <c r="E353" s="13"/>
      <c r="F353" s="13"/>
      <c r="M353" s="13"/>
    </row>
    <row r="354" ht="15.75" customHeight="1">
      <c r="A354" s="13"/>
      <c r="B354" s="13"/>
      <c r="C354" s="13"/>
      <c r="D354" s="13"/>
      <c r="E354" s="13"/>
      <c r="F354" s="13"/>
      <c r="M354" s="13"/>
    </row>
    <row r="355" ht="15.75" customHeight="1">
      <c r="A355" s="13"/>
      <c r="B355" s="13"/>
      <c r="C355" s="13"/>
      <c r="D355" s="13"/>
      <c r="E355" s="13"/>
      <c r="F355" s="13"/>
      <c r="M355" s="13"/>
    </row>
    <row r="356" ht="15.75" customHeight="1">
      <c r="A356" s="13"/>
      <c r="B356" s="13"/>
      <c r="C356" s="13"/>
      <c r="D356" s="13"/>
      <c r="E356" s="13"/>
      <c r="F356" s="13"/>
      <c r="M356" s="13"/>
    </row>
    <row r="357" ht="15.75" customHeight="1">
      <c r="A357" s="13"/>
      <c r="B357" s="13"/>
      <c r="C357" s="13"/>
      <c r="D357" s="13"/>
      <c r="E357" s="13"/>
      <c r="F357" s="13"/>
      <c r="M357" s="13"/>
    </row>
    <row r="358" ht="15.75" customHeight="1">
      <c r="A358" s="13"/>
      <c r="B358" s="13"/>
      <c r="C358" s="13"/>
      <c r="D358" s="13"/>
      <c r="E358" s="13"/>
      <c r="F358" s="13"/>
      <c r="M358" s="13"/>
    </row>
    <row r="359" ht="15.75" customHeight="1">
      <c r="A359" s="13"/>
      <c r="B359" s="13"/>
      <c r="C359" s="13"/>
      <c r="D359" s="13"/>
      <c r="E359" s="13"/>
      <c r="F359" s="13"/>
      <c r="M359" s="13"/>
    </row>
    <row r="360" ht="15.75" customHeight="1">
      <c r="A360" s="13"/>
      <c r="B360" s="13"/>
      <c r="C360" s="13"/>
      <c r="D360" s="13"/>
      <c r="E360" s="13"/>
      <c r="F360" s="13"/>
      <c r="M360" s="13"/>
    </row>
    <row r="361" ht="15.75" customHeight="1">
      <c r="A361" s="13"/>
      <c r="B361" s="13"/>
      <c r="C361" s="13"/>
      <c r="D361" s="13"/>
      <c r="E361" s="13"/>
      <c r="F361" s="13"/>
      <c r="M361" s="13"/>
    </row>
    <row r="362" ht="15.75" customHeight="1">
      <c r="A362" s="13"/>
      <c r="B362" s="13"/>
      <c r="C362" s="13"/>
      <c r="D362" s="13"/>
      <c r="E362" s="13"/>
      <c r="F362" s="13"/>
      <c r="M362" s="13"/>
    </row>
    <row r="363" ht="15.75" customHeight="1">
      <c r="A363" s="13"/>
      <c r="B363" s="13"/>
      <c r="C363" s="13"/>
      <c r="D363" s="13"/>
      <c r="E363" s="13"/>
      <c r="F363" s="13"/>
      <c r="M363" s="13"/>
    </row>
    <row r="364" ht="15.75" customHeight="1">
      <c r="A364" s="13"/>
      <c r="B364" s="13"/>
      <c r="C364" s="13"/>
      <c r="D364" s="13"/>
      <c r="E364" s="13"/>
      <c r="F364" s="13"/>
      <c r="M364" s="13"/>
    </row>
    <row r="365" ht="15.75" customHeight="1">
      <c r="A365" s="13"/>
      <c r="B365" s="13"/>
      <c r="C365" s="13"/>
      <c r="D365" s="13"/>
      <c r="E365" s="13"/>
      <c r="F365" s="13"/>
      <c r="M365" s="13"/>
    </row>
    <row r="366" ht="15.75" customHeight="1">
      <c r="A366" s="13"/>
      <c r="B366" s="13"/>
      <c r="C366" s="13"/>
      <c r="D366" s="13"/>
      <c r="E366" s="13"/>
      <c r="F366" s="13"/>
      <c r="M366" s="13"/>
    </row>
    <row r="367" ht="15.75" customHeight="1">
      <c r="A367" s="13"/>
      <c r="B367" s="13"/>
      <c r="C367" s="13"/>
      <c r="D367" s="13"/>
      <c r="E367" s="13"/>
      <c r="F367" s="13"/>
      <c r="M367" s="13"/>
    </row>
    <row r="368" ht="15.75" customHeight="1">
      <c r="A368" s="13"/>
      <c r="B368" s="13"/>
      <c r="C368" s="13"/>
      <c r="D368" s="13"/>
      <c r="E368" s="13"/>
      <c r="F368" s="13"/>
      <c r="M368" s="13"/>
    </row>
    <row r="369" ht="15.75" customHeight="1">
      <c r="A369" s="13"/>
      <c r="B369" s="13"/>
      <c r="C369" s="13"/>
      <c r="D369" s="13"/>
      <c r="E369" s="13"/>
      <c r="F369" s="13"/>
      <c r="M369" s="13"/>
    </row>
    <row r="370" ht="15.75" customHeight="1">
      <c r="A370" s="13"/>
      <c r="B370" s="13"/>
      <c r="C370" s="13"/>
      <c r="D370" s="13"/>
      <c r="E370" s="13"/>
      <c r="F370" s="13"/>
      <c r="M370" s="13"/>
    </row>
    <row r="371" ht="15.75" customHeight="1">
      <c r="A371" s="13"/>
      <c r="B371" s="13"/>
      <c r="C371" s="13"/>
      <c r="D371" s="13"/>
      <c r="E371" s="13"/>
      <c r="F371" s="13"/>
      <c r="M371" s="13"/>
    </row>
    <row r="372" ht="15.75" customHeight="1">
      <c r="A372" s="13"/>
      <c r="B372" s="13"/>
      <c r="C372" s="13"/>
      <c r="D372" s="13"/>
      <c r="E372" s="13"/>
      <c r="F372" s="13"/>
      <c r="M372" s="13"/>
    </row>
    <row r="373" ht="15.75" customHeight="1">
      <c r="A373" s="13"/>
      <c r="B373" s="13"/>
      <c r="C373" s="13"/>
      <c r="D373" s="13"/>
      <c r="E373" s="13"/>
      <c r="F373" s="13"/>
      <c r="M373" s="13"/>
    </row>
    <row r="374" ht="15.75" customHeight="1">
      <c r="A374" s="13"/>
      <c r="B374" s="13"/>
      <c r="C374" s="13"/>
      <c r="D374" s="13"/>
      <c r="E374" s="13"/>
      <c r="F374" s="13"/>
      <c r="M374" s="13"/>
    </row>
    <row r="375" ht="15.75" customHeight="1">
      <c r="A375" s="13"/>
      <c r="B375" s="13"/>
      <c r="C375" s="13"/>
      <c r="D375" s="13"/>
      <c r="E375" s="13"/>
      <c r="F375" s="13"/>
      <c r="M375" s="13"/>
    </row>
    <row r="376" ht="15.75" customHeight="1">
      <c r="A376" s="13"/>
      <c r="B376" s="13"/>
      <c r="C376" s="13"/>
      <c r="D376" s="13"/>
      <c r="E376" s="13"/>
      <c r="F376" s="13"/>
      <c r="M376" s="13"/>
    </row>
    <row r="377" ht="15.75" customHeight="1">
      <c r="A377" s="13"/>
      <c r="B377" s="13"/>
      <c r="C377" s="13"/>
      <c r="D377" s="13"/>
      <c r="E377" s="13"/>
      <c r="F377" s="13"/>
      <c r="M377" s="13"/>
    </row>
    <row r="378" ht="15.75" customHeight="1">
      <c r="A378" s="13"/>
      <c r="B378" s="13"/>
      <c r="C378" s="13"/>
      <c r="D378" s="13"/>
      <c r="E378" s="13"/>
      <c r="F378" s="13"/>
      <c r="M378" s="13"/>
    </row>
    <row r="379" ht="15.75" customHeight="1">
      <c r="A379" s="13"/>
      <c r="B379" s="13"/>
      <c r="C379" s="13"/>
      <c r="D379" s="13"/>
      <c r="E379" s="13"/>
      <c r="F379" s="13"/>
      <c r="M379" s="13"/>
    </row>
    <row r="380" ht="15.75" customHeight="1">
      <c r="A380" s="13"/>
      <c r="B380" s="13"/>
      <c r="C380" s="13"/>
      <c r="D380" s="13"/>
      <c r="E380" s="13"/>
      <c r="F380" s="13"/>
      <c r="M380" s="13"/>
    </row>
    <row r="381" ht="15.75" customHeight="1">
      <c r="A381" s="13"/>
      <c r="B381" s="13"/>
      <c r="C381" s="13"/>
      <c r="D381" s="13"/>
      <c r="E381" s="13"/>
      <c r="F381" s="13"/>
      <c r="M381" s="13"/>
    </row>
    <row r="382" ht="15.75" customHeight="1">
      <c r="A382" s="13"/>
      <c r="B382" s="13"/>
      <c r="C382" s="13"/>
      <c r="D382" s="13"/>
      <c r="E382" s="13"/>
      <c r="F382" s="13"/>
      <c r="M382" s="13"/>
    </row>
    <row r="383" ht="15.75" customHeight="1">
      <c r="A383" s="13"/>
      <c r="B383" s="13"/>
      <c r="C383" s="13"/>
      <c r="D383" s="13"/>
      <c r="E383" s="13"/>
      <c r="F383" s="13"/>
      <c r="M383" s="13"/>
    </row>
    <row r="384" ht="15.75" customHeight="1">
      <c r="A384" s="13"/>
      <c r="B384" s="13"/>
      <c r="C384" s="13"/>
      <c r="D384" s="13"/>
      <c r="E384" s="13"/>
      <c r="F384" s="13"/>
      <c r="M384" s="13"/>
    </row>
    <row r="385" ht="15.75" customHeight="1">
      <c r="A385" s="13"/>
      <c r="B385" s="13"/>
      <c r="C385" s="13"/>
      <c r="D385" s="13"/>
      <c r="E385" s="13"/>
      <c r="F385" s="13"/>
      <c r="M385" s="13"/>
    </row>
    <row r="386" ht="15.75" customHeight="1">
      <c r="A386" s="13"/>
      <c r="B386" s="13"/>
      <c r="C386" s="13"/>
      <c r="D386" s="13"/>
      <c r="E386" s="13"/>
      <c r="F386" s="13"/>
      <c r="M386" s="13"/>
    </row>
    <row r="387" ht="15.75" customHeight="1">
      <c r="A387" s="13"/>
      <c r="B387" s="13"/>
      <c r="C387" s="13"/>
      <c r="D387" s="13"/>
      <c r="E387" s="13"/>
      <c r="F387" s="13"/>
      <c r="M387" s="13"/>
    </row>
    <row r="388" ht="15.75" customHeight="1">
      <c r="A388" s="13"/>
      <c r="B388" s="13"/>
      <c r="C388" s="13"/>
      <c r="D388" s="13"/>
      <c r="E388" s="13"/>
      <c r="F388" s="13"/>
      <c r="M388" s="13"/>
    </row>
    <row r="389" ht="15.75" customHeight="1">
      <c r="A389" s="13"/>
      <c r="B389" s="13"/>
      <c r="C389" s="13"/>
      <c r="D389" s="13"/>
      <c r="E389" s="13"/>
      <c r="F389" s="13"/>
      <c r="M389" s="13"/>
    </row>
    <row r="390" ht="15.75" customHeight="1">
      <c r="A390" s="13"/>
      <c r="B390" s="13"/>
      <c r="C390" s="13"/>
      <c r="D390" s="13"/>
      <c r="E390" s="13"/>
      <c r="F390" s="13"/>
      <c r="M390" s="13"/>
    </row>
    <row r="391" ht="15.75" customHeight="1">
      <c r="A391" s="13"/>
      <c r="B391" s="13"/>
      <c r="C391" s="13"/>
      <c r="D391" s="13"/>
      <c r="E391" s="13"/>
      <c r="F391" s="13"/>
      <c r="M391" s="13"/>
    </row>
    <row r="392" ht="15.75" customHeight="1">
      <c r="A392" s="13"/>
      <c r="B392" s="13"/>
      <c r="C392" s="13"/>
      <c r="D392" s="13"/>
      <c r="E392" s="13"/>
      <c r="F392" s="13"/>
      <c r="M392" s="13"/>
    </row>
    <row r="393" ht="15.75" customHeight="1">
      <c r="A393" s="13"/>
      <c r="B393" s="13"/>
      <c r="C393" s="13"/>
      <c r="D393" s="13"/>
      <c r="E393" s="13"/>
      <c r="F393" s="13"/>
      <c r="M393" s="13"/>
    </row>
    <row r="394" ht="15.75" customHeight="1">
      <c r="A394" s="13"/>
      <c r="B394" s="13"/>
      <c r="C394" s="13"/>
      <c r="D394" s="13"/>
      <c r="E394" s="13"/>
      <c r="F394" s="13"/>
      <c r="M394" s="13"/>
    </row>
    <row r="395" ht="15.75" customHeight="1">
      <c r="A395" s="13"/>
      <c r="B395" s="13"/>
      <c r="C395" s="13"/>
      <c r="D395" s="13"/>
      <c r="E395" s="13"/>
      <c r="F395" s="13"/>
      <c r="M395" s="13"/>
    </row>
    <row r="396" ht="15.75" customHeight="1">
      <c r="A396" s="13"/>
      <c r="B396" s="13"/>
      <c r="C396" s="13"/>
      <c r="D396" s="13"/>
      <c r="E396" s="13"/>
      <c r="F396" s="13"/>
      <c r="M396" s="13"/>
    </row>
    <row r="397" ht="15.75" customHeight="1">
      <c r="A397" s="13"/>
      <c r="B397" s="13"/>
      <c r="C397" s="13"/>
      <c r="D397" s="13"/>
      <c r="E397" s="13"/>
      <c r="F397" s="13"/>
      <c r="M397" s="13"/>
    </row>
    <row r="398" ht="15.75" customHeight="1">
      <c r="A398" s="13"/>
      <c r="B398" s="13"/>
      <c r="C398" s="13"/>
      <c r="D398" s="13"/>
      <c r="E398" s="13"/>
      <c r="F398" s="13"/>
      <c r="M398" s="13"/>
    </row>
    <row r="399" ht="15.75" customHeight="1">
      <c r="A399" s="13"/>
      <c r="B399" s="13"/>
      <c r="C399" s="13"/>
      <c r="D399" s="13"/>
      <c r="E399" s="13"/>
      <c r="F399" s="13"/>
      <c r="M399" s="13"/>
    </row>
    <row r="400" ht="15.75" customHeight="1">
      <c r="A400" s="13"/>
      <c r="B400" s="13"/>
      <c r="C400" s="13"/>
      <c r="D400" s="13"/>
      <c r="E400" s="13"/>
      <c r="F400" s="13"/>
      <c r="M400" s="13"/>
    </row>
    <row r="401" ht="15.75" customHeight="1">
      <c r="A401" s="13"/>
      <c r="B401" s="13"/>
      <c r="C401" s="13"/>
      <c r="D401" s="13"/>
      <c r="E401" s="13"/>
      <c r="F401" s="13"/>
      <c r="M401" s="13"/>
    </row>
    <row r="402" ht="15.75" customHeight="1">
      <c r="A402" s="13"/>
      <c r="B402" s="13"/>
      <c r="C402" s="13"/>
      <c r="D402" s="13"/>
      <c r="E402" s="13"/>
      <c r="F402" s="13"/>
      <c r="M402" s="13"/>
    </row>
    <row r="403" ht="15.75" customHeight="1">
      <c r="A403" s="13"/>
      <c r="B403" s="13"/>
      <c r="C403" s="13"/>
      <c r="D403" s="13"/>
      <c r="E403" s="13"/>
      <c r="F403" s="13"/>
      <c r="M403" s="13"/>
    </row>
    <row r="404" ht="15.75" customHeight="1">
      <c r="A404" s="13"/>
      <c r="B404" s="13"/>
      <c r="C404" s="13"/>
      <c r="D404" s="13"/>
      <c r="E404" s="13"/>
      <c r="F404" s="13"/>
      <c r="M404" s="13"/>
    </row>
    <row r="405" ht="15.75" customHeight="1">
      <c r="A405" s="13"/>
      <c r="B405" s="13"/>
      <c r="C405" s="13"/>
      <c r="D405" s="13"/>
      <c r="E405" s="13"/>
      <c r="F405" s="13"/>
      <c r="M405" s="13"/>
    </row>
    <row r="406" ht="15.75" customHeight="1">
      <c r="A406" s="13"/>
      <c r="B406" s="13"/>
      <c r="C406" s="13"/>
      <c r="D406" s="13"/>
      <c r="E406" s="13"/>
      <c r="F406" s="13"/>
      <c r="M406" s="13"/>
    </row>
    <row r="407" ht="15.75" customHeight="1">
      <c r="A407" s="13"/>
      <c r="B407" s="13"/>
      <c r="C407" s="13"/>
      <c r="D407" s="13"/>
      <c r="E407" s="13"/>
      <c r="F407" s="13"/>
      <c r="M407" s="13"/>
    </row>
    <row r="408" ht="15.75" customHeight="1">
      <c r="A408" s="13"/>
      <c r="B408" s="13"/>
      <c r="C408" s="13"/>
      <c r="D408" s="13"/>
      <c r="E408" s="13"/>
      <c r="F408" s="13"/>
      <c r="M408" s="13"/>
    </row>
    <row r="409" ht="15.75" customHeight="1">
      <c r="A409" s="13"/>
      <c r="B409" s="13"/>
      <c r="C409" s="13"/>
      <c r="D409" s="13"/>
      <c r="E409" s="13"/>
      <c r="F409" s="13"/>
      <c r="M409" s="13"/>
    </row>
    <row r="410" ht="15.75" customHeight="1">
      <c r="A410" s="13"/>
      <c r="B410" s="13"/>
      <c r="C410" s="13"/>
      <c r="D410" s="13"/>
      <c r="E410" s="13"/>
      <c r="F410" s="13"/>
      <c r="M410" s="13"/>
    </row>
    <row r="411" ht="15.75" customHeight="1">
      <c r="A411" s="13"/>
      <c r="B411" s="13"/>
      <c r="C411" s="13"/>
      <c r="D411" s="13"/>
      <c r="E411" s="13"/>
      <c r="F411" s="13"/>
      <c r="M411" s="13"/>
    </row>
    <row r="412" ht="15.75" customHeight="1">
      <c r="A412" s="13"/>
      <c r="B412" s="13"/>
      <c r="C412" s="13"/>
      <c r="D412" s="13"/>
      <c r="E412" s="13"/>
      <c r="F412" s="13"/>
      <c r="M412" s="13"/>
    </row>
    <row r="413" ht="15.75" customHeight="1">
      <c r="A413" s="13"/>
      <c r="B413" s="13"/>
      <c r="C413" s="13"/>
      <c r="D413" s="13"/>
      <c r="E413" s="13"/>
      <c r="F413" s="13"/>
      <c r="M413" s="13"/>
    </row>
    <row r="414" ht="15.75" customHeight="1">
      <c r="A414" s="13"/>
      <c r="B414" s="13"/>
      <c r="C414" s="13"/>
      <c r="D414" s="13"/>
      <c r="E414" s="13"/>
      <c r="F414" s="13"/>
      <c r="M414" s="13"/>
    </row>
    <row r="415" ht="15.75" customHeight="1">
      <c r="A415" s="13"/>
      <c r="B415" s="13"/>
      <c r="C415" s="13"/>
      <c r="D415" s="13"/>
      <c r="E415" s="13"/>
      <c r="F415" s="13"/>
      <c r="M415" s="13"/>
    </row>
    <row r="416" ht="15.75" customHeight="1">
      <c r="A416" s="13"/>
      <c r="B416" s="13"/>
      <c r="C416" s="13"/>
      <c r="D416" s="13"/>
      <c r="E416" s="13"/>
      <c r="F416" s="13"/>
      <c r="M416" s="13"/>
    </row>
    <row r="417" ht="15.75" customHeight="1">
      <c r="A417" s="13"/>
      <c r="B417" s="13"/>
      <c r="C417" s="13"/>
      <c r="D417" s="13"/>
      <c r="E417" s="13"/>
      <c r="F417" s="13"/>
      <c r="M417" s="13"/>
    </row>
    <row r="418" ht="15.75" customHeight="1">
      <c r="A418" s="13"/>
      <c r="B418" s="13"/>
      <c r="C418" s="13"/>
      <c r="D418" s="13"/>
      <c r="E418" s="13"/>
      <c r="F418" s="13"/>
      <c r="M418" s="13"/>
    </row>
    <row r="419" ht="15.75" customHeight="1">
      <c r="A419" s="13"/>
      <c r="B419" s="13"/>
      <c r="C419" s="13"/>
      <c r="D419" s="13"/>
      <c r="E419" s="13"/>
      <c r="F419" s="13"/>
      <c r="M419" s="13"/>
    </row>
    <row r="420" ht="15.75" customHeight="1">
      <c r="A420" s="13"/>
      <c r="B420" s="13"/>
      <c r="C420" s="13"/>
      <c r="D420" s="13"/>
      <c r="E420" s="13"/>
      <c r="F420" s="13"/>
      <c r="M420" s="13"/>
    </row>
    <row r="421" ht="15.75" customHeight="1">
      <c r="A421" s="13"/>
      <c r="B421" s="13"/>
      <c r="C421" s="13"/>
      <c r="D421" s="13"/>
      <c r="E421" s="13"/>
      <c r="F421" s="13"/>
      <c r="M421" s="13"/>
    </row>
    <row r="422" ht="15.75" customHeight="1">
      <c r="A422" s="13"/>
      <c r="B422" s="13"/>
      <c r="C422" s="13"/>
      <c r="D422" s="13"/>
      <c r="E422" s="13"/>
      <c r="F422" s="13"/>
      <c r="M422" s="13"/>
    </row>
    <row r="423" ht="15.75" customHeight="1">
      <c r="A423" s="13"/>
      <c r="B423" s="13"/>
      <c r="C423" s="13"/>
      <c r="D423" s="13"/>
      <c r="E423" s="13"/>
      <c r="F423" s="13"/>
      <c r="M423" s="13"/>
    </row>
    <row r="424" ht="15.75" customHeight="1">
      <c r="A424" s="13"/>
      <c r="B424" s="13"/>
      <c r="C424" s="13"/>
      <c r="D424" s="13"/>
      <c r="E424" s="13"/>
      <c r="F424" s="13"/>
      <c r="M424" s="13"/>
    </row>
    <row r="425" ht="15.75" customHeight="1">
      <c r="A425" s="13"/>
      <c r="B425" s="13"/>
      <c r="C425" s="13"/>
      <c r="D425" s="13"/>
      <c r="E425" s="13"/>
      <c r="F425" s="13"/>
      <c r="M425" s="13"/>
    </row>
    <row r="426" ht="15.75" customHeight="1">
      <c r="A426" s="13"/>
      <c r="B426" s="13"/>
      <c r="C426" s="13"/>
      <c r="D426" s="13"/>
      <c r="E426" s="13"/>
      <c r="F426" s="13"/>
      <c r="M426" s="13"/>
    </row>
    <row r="427" ht="15.75" customHeight="1">
      <c r="A427" s="13"/>
      <c r="B427" s="13"/>
      <c r="C427" s="13"/>
      <c r="D427" s="13"/>
      <c r="E427" s="13"/>
      <c r="F427" s="13"/>
      <c r="M427" s="13"/>
    </row>
    <row r="428" ht="15.75" customHeight="1">
      <c r="A428" s="13"/>
      <c r="B428" s="13"/>
      <c r="C428" s="13"/>
      <c r="D428" s="13"/>
      <c r="E428" s="13"/>
      <c r="F428" s="13"/>
      <c r="M428" s="13"/>
    </row>
    <row r="429" ht="15.75" customHeight="1">
      <c r="A429" s="13"/>
      <c r="B429" s="13"/>
      <c r="C429" s="13"/>
      <c r="D429" s="13"/>
      <c r="E429" s="13"/>
      <c r="F429" s="13"/>
      <c r="M429" s="13"/>
    </row>
    <row r="430" ht="15.75" customHeight="1">
      <c r="A430" s="13"/>
      <c r="B430" s="13"/>
      <c r="C430" s="13"/>
      <c r="D430" s="13"/>
      <c r="E430" s="13"/>
      <c r="F430" s="13"/>
      <c r="M430" s="13"/>
    </row>
    <row r="431" ht="15.75" customHeight="1">
      <c r="A431" s="13"/>
      <c r="B431" s="13"/>
      <c r="C431" s="13"/>
      <c r="D431" s="13"/>
      <c r="E431" s="13"/>
      <c r="F431" s="13"/>
      <c r="M431" s="13"/>
    </row>
    <row r="432" ht="15.75" customHeight="1">
      <c r="A432" s="13"/>
      <c r="B432" s="13"/>
      <c r="C432" s="13"/>
      <c r="D432" s="13"/>
      <c r="E432" s="13"/>
      <c r="F432" s="13"/>
      <c r="M432" s="13"/>
    </row>
    <row r="433" ht="15.75" customHeight="1">
      <c r="A433" s="13"/>
      <c r="B433" s="13"/>
      <c r="C433" s="13"/>
      <c r="D433" s="13"/>
      <c r="E433" s="13"/>
      <c r="F433" s="13"/>
      <c r="M433" s="13"/>
    </row>
    <row r="434" ht="15.75" customHeight="1">
      <c r="A434" s="13"/>
      <c r="B434" s="13"/>
      <c r="C434" s="13"/>
      <c r="D434" s="13"/>
      <c r="E434" s="13"/>
      <c r="F434" s="13"/>
      <c r="M434" s="13"/>
    </row>
    <row r="435" ht="15.75" customHeight="1">
      <c r="A435" s="13"/>
      <c r="B435" s="13"/>
      <c r="C435" s="13"/>
      <c r="D435" s="13"/>
      <c r="E435" s="13"/>
      <c r="F435" s="13"/>
      <c r="M435" s="13"/>
    </row>
    <row r="436" ht="15.75" customHeight="1">
      <c r="A436" s="13"/>
      <c r="B436" s="13"/>
      <c r="C436" s="13"/>
      <c r="D436" s="13"/>
      <c r="E436" s="13"/>
      <c r="F436" s="13"/>
      <c r="M436" s="13"/>
    </row>
    <row r="437" ht="15.75" customHeight="1">
      <c r="A437" s="13"/>
      <c r="B437" s="13"/>
      <c r="C437" s="13"/>
      <c r="D437" s="13"/>
      <c r="E437" s="13"/>
      <c r="F437" s="13"/>
      <c r="M437" s="13"/>
    </row>
    <row r="438" ht="15.75" customHeight="1">
      <c r="A438" s="13"/>
      <c r="B438" s="13"/>
      <c r="C438" s="13"/>
      <c r="D438" s="13"/>
      <c r="E438" s="13"/>
      <c r="F438" s="13"/>
      <c r="M438" s="13"/>
    </row>
    <row r="439" ht="15.75" customHeight="1">
      <c r="A439" s="13"/>
      <c r="B439" s="13"/>
      <c r="C439" s="13"/>
      <c r="D439" s="13"/>
      <c r="E439" s="13"/>
      <c r="F439" s="13"/>
      <c r="M439" s="13"/>
    </row>
    <row r="440" ht="15.75" customHeight="1">
      <c r="A440" s="13"/>
      <c r="B440" s="13"/>
      <c r="C440" s="13"/>
      <c r="D440" s="13"/>
      <c r="E440" s="13"/>
      <c r="F440" s="13"/>
      <c r="M440" s="13"/>
    </row>
    <row r="441" ht="15.75" customHeight="1">
      <c r="A441" s="13"/>
      <c r="B441" s="13"/>
      <c r="C441" s="13"/>
      <c r="D441" s="13"/>
      <c r="E441" s="13"/>
      <c r="F441" s="13"/>
      <c r="M441" s="13"/>
    </row>
    <row r="442" ht="15.75" customHeight="1">
      <c r="A442" s="13"/>
      <c r="B442" s="13"/>
      <c r="C442" s="13"/>
      <c r="D442" s="13"/>
      <c r="E442" s="13"/>
      <c r="F442" s="13"/>
      <c r="M442" s="13"/>
    </row>
    <row r="443" ht="15.75" customHeight="1">
      <c r="A443" s="13"/>
      <c r="B443" s="13"/>
      <c r="C443" s="13"/>
      <c r="D443" s="13"/>
      <c r="E443" s="13"/>
      <c r="F443" s="13"/>
      <c r="M443" s="13"/>
    </row>
    <row r="444" ht="15.75" customHeight="1">
      <c r="A444" s="13"/>
      <c r="B444" s="13"/>
      <c r="C444" s="13"/>
      <c r="D444" s="13"/>
      <c r="E444" s="13"/>
      <c r="F444" s="13"/>
      <c r="M444" s="13"/>
    </row>
    <row r="445" ht="15.75" customHeight="1">
      <c r="A445" s="13"/>
      <c r="B445" s="13"/>
      <c r="C445" s="13"/>
      <c r="D445" s="13"/>
      <c r="E445" s="13"/>
      <c r="F445" s="13"/>
      <c r="M445" s="13"/>
    </row>
    <row r="446" ht="15.75" customHeight="1">
      <c r="A446" s="13"/>
      <c r="B446" s="13"/>
      <c r="C446" s="13"/>
      <c r="D446" s="13"/>
      <c r="E446" s="13"/>
      <c r="F446" s="13"/>
      <c r="M446" s="13"/>
    </row>
    <row r="447" ht="15.75" customHeight="1">
      <c r="A447" s="13"/>
      <c r="B447" s="13"/>
      <c r="C447" s="13"/>
      <c r="D447" s="13"/>
      <c r="E447" s="13"/>
      <c r="F447" s="13"/>
      <c r="M447" s="13"/>
    </row>
    <row r="448" ht="15.75" customHeight="1">
      <c r="A448" s="13"/>
      <c r="B448" s="13"/>
      <c r="C448" s="13"/>
      <c r="D448" s="13"/>
      <c r="E448" s="13"/>
      <c r="F448" s="13"/>
      <c r="M448" s="13"/>
    </row>
    <row r="449" ht="15.75" customHeight="1">
      <c r="A449" s="13"/>
      <c r="B449" s="13"/>
      <c r="C449" s="13"/>
      <c r="D449" s="13"/>
      <c r="E449" s="13"/>
      <c r="F449" s="13"/>
      <c r="M449" s="13"/>
    </row>
    <row r="450" ht="15.75" customHeight="1">
      <c r="A450" s="13"/>
      <c r="B450" s="13"/>
      <c r="C450" s="13"/>
      <c r="D450" s="13"/>
      <c r="E450" s="13"/>
      <c r="F450" s="13"/>
      <c r="M450" s="13"/>
    </row>
    <row r="451" ht="15.75" customHeight="1">
      <c r="A451" s="13"/>
      <c r="B451" s="13"/>
      <c r="C451" s="13"/>
      <c r="D451" s="13"/>
      <c r="E451" s="13"/>
      <c r="F451" s="13"/>
      <c r="M451" s="13"/>
    </row>
    <row r="452" ht="15.75" customHeight="1">
      <c r="A452" s="13"/>
      <c r="B452" s="13"/>
      <c r="C452" s="13"/>
      <c r="D452" s="13"/>
      <c r="E452" s="13"/>
      <c r="F452" s="13"/>
      <c r="M452" s="13"/>
    </row>
    <row r="453" ht="15.75" customHeight="1">
      <c r="A453" s="13"/>
      <c r="B453" s="13"/>
      <c r="C453" s="13"/>
      <c r="D453" s="13"/>
      <c r="E453" s="13"/>
      <c r="F453" s="13"/>
      <c r="M453" s="13"/>
    </row>
    <row r="454" ht="15.75" customHeight="1">
      <c r="A454" s="13"/>
      <c r="B454" s="13"/>
      <c r="C454" s="13"/>
      <c r="D454" s="13"/>
      <c r="E454" s="13"/>
      <c r="F454" s="13"/>
      <c r="M454" s="13"/>
    </row>
    <row r="455" ht="15.75" customHeight="1">
      <c r="A455" s="13"/>
      <c r="B455" s="13"/>
      <c r="C455" s="13"/>
      <c r="D455" s="13"/>
      <c r="E455" s="13"/>
      <c r="F455" s="13"/>
      <c r="M455" s="13"/>
    </row>
    <row r="456" ht="15.75" customHeight="1">
      <c r="A456" s="13"/>
      <c r="B456" s="13"/>
      <c r="C456" s="13"/>
      <c r="D456" s="13"/>
      <c r="E456" s="13"/>
      <c r="F456" s="13"/>
      <c r="M456" s="13"/>
    </row>
    <row r="457" ht="15.75" customHeight="1">
      <c r="A457" s="13"/>
      <c r="B457" s="13"/>
      <c r="C457" s="13"/>
      <c r="D457" s="13"/>
      <c r="E457" s="13"/>
      <c r="F457" s="13"/>
      <c r="M457" s="13"/>
    </row>
    <row r="458" ht="15.75" customHeight="1">
      <c r="A458" s="13"/>
      <c r="B458" s="13"/>
      <c r="C458" s="13"/>
      <c r="D458" s="13"/>
      <c r="E458" s="13"/>
      <c r="F458" s="13"/>
      <c r="M458" s="13"/>
    </row>
    <row r="459" ht="15.75" customHeight="1">
      <c r="A459" s="13"/>
      <c r="B459" s="13"/>
      <c r="C459" s="13"/>
      <c r="D459" s="13"/>
      <c r="E459" s="13"/>
      <c r="F459" s="13"/>
      <c r="M459" s="13"/>
    </row>
    <row r="460" ht="15.75" customHeight="1">
      <c r="A460" s="13"/>
      <c r="B460" s="13"/>
      <c r="C460" s="13"/>
      <c r="D460" s="13"/>
      <c r="E460" s="13"/>
      <c r="F460" s="13"/>
      <c r="M460" s="13"/>
    </row>
    <row r="461" ht="15.75" customHeight="1">
      <c r="A461" s="13"/>
      <c r="B461" s="13"/>
      <c r="C461" s="13"/>
      <c r="D461" s="13"/>
      <c r="E461" s="13"/>
      <c r="F461" s="13"/>
      <c r="M461" s="13"/>
    </row>
    <row r="462" ht="15.75" customHeight="1">
      <c r="A462" s="13"/>
      <c r="B462" s="13"/>
      <c r="C462" s="13"/>
      <c r="D462" s="13"/>
      <c r="E462" s="13"/>
      <c r="F462" s="13"/>
      <c r="M462" s="13"/>
    </row>
    <row r="463" ht="15.75" customHeight="1">
      <c r="A463" s="13"/>
      <c r="B463" s="13"/>
      <c r="C463" s="13"/>
      <c r="D463" s="13"/>
      <c r="E463" s="13"/>
      <c r="F463" s="13"/>
      <c r="M463" s="13"/>
    </row>
    <row r="464" ht="15.75" customHeight="1">
      <c r="A464" s="13"/>
      <c r="B464" s="13"/>
      <c r="C464" s="13"/>
      <c r="D464" s="13"/>
      <c r="E464" s="13"/>
      <c r="F464" s="13"/>
      <c r="M464" s="13"/>
    </row>
    <row r="465" ht="15.75" customHeight="1">
      <c r="A465" s="13"/>
      <c r="B465" s="13"/>
      <c r="C465" s="13"/>
      <c r="D465" s="13"/>
      <c r="E465" s="13"/>
      <c r="F465" s="13"/>
      <c r="M465" s="13"/>
    </row>
    <row r="466" ht="15.75" customHeight="1">
      <c r="A466" s="13"/>
      <c r="B466" s="13"/>
      <c r="C466" s="13"/>
      <c r="D466" s="13"/>
      <c r="E466" s="13"/>
      <c r="F466" s="13"/>
      <c r="M466" s="13"/>
    </row>
    <row r="467" ht="15.75" customHeight="1">
      <c r="A467" s="13"/>
      <c r="B467" s="13"/>
      <c r="C467" s="13"/>
      <c r="D467" s="13"/>
      <c r="E467" s="13"/>
      <c r="F467" s="13"/>
      <c r="M467" s="13"/>
    </row>
    <row r="468" ht="15.75" customHeight="1">
      <c r="A468" s="13"/>
      <c r="B468" s="13"/>
      <c r="C468" s="13"/>
      <c r="D468" s="13"/>
      <c r="E468" s="13"/>
      <c r="F468" s="13"/>
      <c r="M468" s="13"/>
    </row>
    <row r="469" ht="15.75" customHeight="1">
      <c r="A469" s="13"/>
      <c r="B469" s="13"/>
      <c r="C469" s="13"/>
      <c r="D469" s="13"/>
      <c r="E469" s="13"/>
      <c r="F469" s="13"/>
      <c r="M469" s="13"/>
    </row>
    <row r="470" ht="15.75" customHeight="1">
      <c r="A470" s="13"/>
      <c r="B470" s="13"/>
      <c r="C470" s="13"/>
      <c r="D470" s="13"/>
      <c r="E470" s="13"/>
      <c r="F470" s="13"/>
      <c r="M470" s="13"/>
    </row>
    <row r="471" ht="15.75" customHeight="1">
      <c r="A471" s="13"/>
      <c r="B471" s="13"/>
      <c r="C471" s="13"/>
      <c r="D471" s="13"/>
      <c r="E471" s="13"/>
      <c r="F471" s="13"/>
      <c r="M471" s="13"/>
    </row>
    <row r="472" ht="15.75" customHeight="1">
      <c r="A472" s="13"/>
      <c r="B472" s="13"/>
      <c r="C472" s="13"/>
      <c r="D472" s="13"/>
      <c r="E472" s="13"/>
      <c r="F472" s="13"/>
      <c r="M472" s="13"/>
    </row>
    <row r="473" ht="15.75" customHeight="1">
      <c r="A473" s="13"/>
      <c r="B473" s="13"/>
      <c r="C473" s="13"/>
      <c r="D473" s="13"/>
      <c r="E473" s="13"/>
      <c r="F473" s="13"/>
      <c r="M473" s="13"/>
    </row>
    <row r="474" ht="15.75" customHeight="1">
      <c r="A474" s="13"/>
      <c r="B474" s="13"/>
      <c r="C474" s="13"/>
      <c r="D474" s="13"/>
      <c r="E474" s="13"/>
      <c r="F474" s="13"/>
      <c r="M474" s="13"/>
    </row>
    <row r="475" ht="15.75" customHeight="1">
      <c r="A475" s="13"/>
      <c r="B475" s="13"/>
      <c r="C475" s="13"/>
      <c r="D475" s="13"/>
      <c r="E475" s="13"/>
      <c r="F475" s="13"/>
      <c r="M475" s="13"/>
    </row>
    <row r="476" ht="15.75" customHeight="1">
      <c r="A476" s="13"/>
      <c r="B476" s="13"/>
      <c r="C476" s="13"/>
      <c r="D476" s="13"/>
      <c r="E476" s="13"/>
      <c r="F476" s="13"/>
      <c r="M476" s="13"/>
    </row>
    <row r="477" ht="15.75" customHeight="1">
      <c r="A477" s="13"/>
      <c r="B477" s="13"/>
      <c r="C477" s="13"/>
      <c r="D477" s="13"/>
      <c r="E477" s="13"/>
      <c r="F477" s="13"/>
      <c r="M477" s="13"/>
    </row>
    <row r="478" ht="15.75" customHeight="1">
      <c r="A478" s="13"/>
      <c r="B478" s="13"/>
      <c r="C478" s="13"/>
      <c r="D478" s="13"/>
      <c r="E478" s="13"/>
      <c r="F478" s="13"/>
      <c r="M478" s="13"/>
    </row>
    <row r="479" ht="15.75" customHeight="1">
      <c r="A479" s="13"/>
      <c r="B479" s="13"/>
      <c r="C479" s="13"/>
      <c r="D479" s="13"/>
      <c r="E479" s="13"/>
      <c r="F479" s="13"/>
      <c r="M479" s="13"/>
    </row>
    <row r="480" ht="15.75" customHeight="1">
      <c r="A480" s="13"/>
      <c r="B480" s="13"/>
      <c r="C480" s="13"/>
      <c r="D480" s="13"/>
      <c r="E480" s="13"/>
      <c r="F480" s="13"/>
      <c r="M480" s="13"/>
    </row>
    <row r="481" ht="15.75" customHeight="1">
      <c r="A481" s="13"/>
      <c r="B481" s="13"/>
      <c r="C481" s="13"/>
      <c r="D481" s="13"/>
      <c r="E481" s="13"/>
      <c r="F481" s="13"/>
      <c r="M481" s="13"/>
    </row>
    <row r="482" ht="15.75" customHeight="1">
      <c r="A482" s="13"/>
      <c r="B482" s="13"/>
      <c r="C482" s="13"/>
      <c r="D482" s="13"/>
      <c r="E482" s="13"/>
      <c r="F482" s="13"/>
      <c r="M482" s="13"/>
    </row>
    <row r="483" ht="15.75" customHeight="1">
      <c r="A483" s="13"/>
      <c r="B483" s="13"/>
      <c r="C483" s="13"/>
      <c r="D483" s="13"/>
      <c r="E483" s="13"/>
      <c r="F483" s="13"/>
      <c r="M483" s="13"/>
    </row>
    <row r="484" ht="15.75" customHeight="1">
      <c r="A484" s="13"/>
      <c r="B484" s="13"/>
      <c r="C484" s="13"/>
      <c r="D484" s="13"/>
      <c r="E484" s="13"/>
      <c r="F484" s="13"/>
      <c r="M484" s="13"/>
    </row>
    <row r="485" ht="15.75" customHeight="1">
      <c r="A485" s="13"/>
      <c r="B485" s="13"/>
      <c r="C485" s="13"/>
      <c r="D485" s="13"/>
      <c r="E485" s="13"/>
      <c r="F485" s="13"/>
      <c r="M485" s="13"/>
    </row>
    <row r="486" ht="15.75" customHeight="1">
      <c r="A486" s="13"/>
      <c r="B486" s="13"/>
      <c r="C486" s="13"/>
      <c r="D486" s="13"/>
      <c r="E486" s="13"/>
      <c r="F486" s="13"/>
      <c r="M486" s="13"/>
    </row>
    <row r="487" ht="15.75" customHeight="1">
      <c r="A487" s="13"/>
      <c r="B487" s="13"/>
      <c r="C487" s="13"/>
      <c r="D487" s="13"/>
      <c r="E487" s="13"/>
      <c r="F487" s="13"/>
      <c r="M487" s="13"/>
    </row>
    <row r="488" ht="15.75" customHeight="1">
      <c r="A488" s="13"/>
      <c r="B488" s="13"/>
      <c r="C488" s="13"/>
      <c r="D488" s="13"/>
      <c r="E488" s="13"/>
      <c r="F488" s="13"/>
      <c r="M488" s="13"/>
    </row>
    <row r="489" ht="15.75" customHeight="1">
      <c r="A489" s="13"/>
      <c r="B489" s="13"/>
      <c r="C489" s="13"/>
      <c r="D489" s="13"/>
      <c r="E489" s="13"/>
      <c r="F489" s="13"/>
      <c r="M489" s="13"/>
    </row>
    <row r="490" ht="15.75" customHeight="1">
      <c r="A490" s="13"/>
      <c r="B490" s="13"/>
      <c r="C490" s="13"/>
      <c r="D490" s="13"/>
      <c r="E490" s="13"/>
      <c r="F490" s="13"/>
      <c r="M490" s="13"/>
    </row>
    <row r="491" ht="15.75" customHeight="1">
      <c r="A491" s="13"/>
      <c r="B491" s="13"/>
      <c r="C491" s="13"/>
      <c r="D491" s="13"/>
      <c r="E491" s="13"/>
      <c r="F491" s="13"/>
      <c r="M491" s="13"/>
    </row>
    <row r="492" ht="15.75" customHeight="1">
      <c r="A492" s="13"/>
      <c r="B492" s="13"/>
      <c r="C492" s="13"/>
      <c r="D492" s="13"/>
      <c r="E492" s="13"/>
      <c r="F492" s="13"/>
      <c r="M492" s="13"/>
    </row>
    <row r="493" ht="15.75" customHeight="1">
      <c r="A493" s="13"/>
      <c r="B493" s="13"/>
      <c r="C493" s="13"/>
      <c r="D493" s="13"/>
      <c r="E493" s="13"/>
      <c r="F493" s="13"/>
      <c r="M493" s="13"/>
    </row>
    <row r="494" ht="15.75" customHeight="1">
      <c r="A494" s="13"/>
      <c r="B494" s="13"/>
      <c r="C494" s="13"/>
      <c r="D494" s="13"/>
      <c r="E494" s="13"/>
      <c r="F494" s="13"/>
      <c r="M494" s="13"/>
    </row>
    <row r="495" ht="15.75" customHeight="1">
      <c r="A495" s="13"/>
      <c r="B495" s="13"/>
      <c r="C495" s="13"/>
      <c r="D495" s="13"/>
      <c r="E495" s="13"/>
      <c r="F495" s="13"/>
      <c r="M495" s="13"/>
    </row>
    <row r="496" ht="15.75" customHeight="1">
      <c r="A496" s="13"/>
      <c r="B496" s="13"/>
      <c r="C496" s="13"/>
      <c r="D496" s="13"/>
      <c r="E496" s="13"/>
      <c r="F496" s="13"/>
      <c r="M496" s="13"/>
    </row>
    <row r="497" ht="15.75" customHeight="1">
      <c r="A497" s="13"/>
      <c r="B497" s="13"/>
      <c r="C497" s="13"/>
      <c r="D497" s="13"/>
      <c r="E497" s="13"/>
      <c r="F497" s="13"/>
      <c r="M497" s="13"/>
    </row>
    <row r="498" ht="15.75" customHeight="1">
      <c r="A498" s="13"/>
      <c r="B498" s="13"/>
      <c r="C498" s="13"/>
      <c r="D498" s="13"/>
      <c r="E498" s="13"/>
      <c r="F498" s="13"/>
      <c r="M498" s="13"/>
    </row>
    <row r="499" ht="15.75" customHeight="1">
      <c r="A499" s="13"/>
      <c r="B499" s="13"/>
      <c r="C499" s="13"/>
      <c r="D499" s="13"/>
      <c r="E499" s="13"/>
      <c r="F499" s="13"/>
      <c r="M499" s="13"/>
    </row>
    <row r="500" ht="15.75" customHeight="1">
      <c r="A500" s="13"/>
      <c r="B500" s="13"/>
      <c r="C500" s="13"/>
      <c r="D500" s="13"/>
      <c r="E500" s="13"/>
      <c r="F500" s="13"/>
      <c r="M500" s="13"/>
    </row>
    <row r="501" ht="15.75" customHeight="1">
      <c r="A501" s="13"/>
      <c r="B501" s="13"/>
      <c r="C501" s="13"/>
      <c r="D501" s="13"/>
      <c r="E501" s="13"/>
      <c r="F501" s="13"/>
      <c r="M501" s="13"/>
    </row>
    <row r="502" ht="15.75" customHeight="1">
      <c r="A502" s="13"/>
      <c r="B502" s="13"/>
      <c r="C502" s="13"/>
      <c r="D502" s="13"/>
      <c r="E502" s="13"/>
      <c r="F502" s="13"/>
      <c r="M502" s="13"/>
    </row>
    <row r="503" ht="15.75" customHeight="1">
      <c r="A503" s="13"/>
      <c r="B503" s="13"/>
      <c r="C503" s="13"/>
      <c r="D503" s="13"/>
      <c r="E503" s="13"/>
      <c r="F503" s="13"/>
      <c r="M503" s="13"/>
    </row>
    <row r="504" ht="15.75" customHeight="1">
      <c r="A504" s="13"/>
      <c r="B504" s="13"/>
      <c r="C504" s="13"/>
      <c r="D504" s="13"/>
      <c r="E504" s="13"/>
      <c r="F504" s="13"/>
      <c r="M504" s="13"/>
    </row>
    <row r="505" ht="15.75" customHeight="1">
      <c r="A505" s="13"/>
      <c r="B505" s="13"/>
      <c r="C505" s="13"/>
      <c r="D505" s="13"/>
      <c r="E505" s="13"/>
      <c r="F505" s="13"/>
      <c r="M505" s="13"/>
    </row>
    <row r="506" ht="15.75" customHeight="1">
      <c r="A506" s="13"/>
      <c r="B506" s="13"/>
      <c r="C506" s="13"/>
      <c r="D506" s="13"/>
      <c r="E506" s="13"/>
      <c r="F506" s="13"/>
      <c r="M506" s="13"/>
    </row>
    <row r="507" ht="15.75" customHeight="1">
      <c r="A507" s="13"/>
      <c r="B507" s="13"/>
      <c r="C507" s="13"/>
      <c r="D507" s="13"/>
      <c r="E507" s="13"/>
      <c r="F507" s="13"/>
      <c r="M507" s="13"/>
    </row>
    <row r="508" ht="15.75" customHeight="1">
      <c r="A508" s="13"/>
      <c r="B508" s="13"/>
      <c r="C508" s="13"/>
      <c r="D508" s="13"/>
      <c r="E508" s="13"/>
      <c r="F508" s="13"/>
      <c r="M508" s="13"/>
    </row>
    <row r="509" ht="15.75" customHeight="1">
      <c r="A509" s="13"/>
      <c r="B509" s="13"/>
      <c r="C509" s="13"/>
      <c r="D509" s="13"/>
      <c r="E509" s="13"/>
      <c r="F509" s="13"/>
      <c r="M509" s="13"/>
    </row>
    <row r="510" ht="15.75" customHeight="1">
      <c r="A510" s="13"/>
      <c r="B510" s="13"/>
      <c r="C510" s="13"/>
      <c r="D510" s="13"/>
      <c r="E510" s="13"/>
      <c r="F510" s="13"/>
      <c r="M510" s="13"/>
    </row>
    <row r="511" ht="15.75" customHeight="1">
      <c r="A511" s="13"/>
      <c r="B511" s="13"/>
      <c r="C511" s="13"/>
      <c r="D511" s="13"/>
      <c r="E511" s="13"/>
      <c r="F511" s="13"/>
      <c r="M511" s="13"/>
    </row>
    <row r="512" ht="15.75" customHeight="1">
      <c r="A512" s="13"/>
      <c r="B512" s="13"/>
      <c r="C512" s="13"/>
      <c r="D512" s="13"/>
      <c r="E512" s="13"/>
      <c r="F512" s="13"/>
      <c r="M512" s="13"/>
    </row>
    <row r="513" ht="15.75" customHeight="1">
      <c r="A513" s="13"/>
      <c r="B513" s="13"/>
      <c r="C513" s="13"/>
      <c r="D513" s="13"/>
      <c r="E513" s="13"/>
      <c r="F513" s="13"/>
      <c r="M513" s="13"/>
    </row>
    <row r="514" ht="15.75" customHeight="1">
      <c r="A514" s="13"/>
      <c r="B514" s="13"/>
      <c r="C514" s="13"/>
      <c r="D514" s="13"/>
      <c r="E514" s="13"/>
      <c r="F514" s="13"/>
      <c r="M514" s="13"/>
    </row>
    <row r="515" ht="15.75" customHeight="1">
      <c r="A515" s="13"/>
      <c r="B515" s="13"/>
      <c r="C515" s="13"/>
      <c r="D515" s="13"/>
      <c r="E515" s="13"/>
      <c r="F515" s="13"/>
      <c r="M515" s="13"/>
    </row>
    <row r="516" ht="15.75" customHeight="1">
      <c r="A516" s="13"/>
      <c r="B516" s="13"/>
      <c r="C516" s="13"/>
      <c r="D516" s="13"/>
      <c r="E516" s="13"/>
      <c r="F516" s="13"/>
      <c r="M516" s="13"/>
    </row>
    <row r="517" ht="15.75" customHeight="1">
      <c r="A517" s="13"/>
      <c r="B517" s="13"/>
      <c r="C517" s="13"/>
      <c r="D517" s="13"/>
      <c r="E517" s="13"/>
      <c r="F517" s="13"/>
      <c r="M517" s="13"/>
    </row>
    <row r="518" ht="15.75" customHeight="1">
      <c r="A518" s="13"/>
      <c r="B518" s="13"/>
      <c r="C518" s="13"/>
      <c r="D518" s="13"/>
      <c r="E518" s="13"/>
      <c r="F518" s="13"/>
      <c r="M518" s="13"/>
    </row>
    <row r="519" ht="15.75" customHeight="1">
      <c r="A519" s="13"/>
      <c r="B519" s="13"/>
      <c r="C519" s="13"/>
      <c r="D519" s="13"/>
      <c r="E519" s="13"/>
      <c r="F519" s="13"/>
      <c r="M519" s="13"/>
    </row>
    <row r="520" ht="15.75" customHeight="1">
      <c r="A520" s="13"/>
      <c r="B520" s="13"/>
      <c r="C520" s="13"/>
      <c r="D520" s="13"/>
      <c r="E520" s="13"/>
      <c r="F520" s="13"/>
      <c r="M520" s="13"/>
    </row>
    <row r="521" ht="15.75" customHeight="1">
      <c r="A521" s="13"/>
      <c r="B521" s="13"/>
      <c r="C521" s="13"/>
      <c r="D521" s="13"/>
      <c r="E521" s="13"/>
      <c r="F521" s="13"/>
      <c r="M521" s="13"/>
    </row>
    <row r="522" ht="15.75" customHeight="1">
      <c r="A522" s="13"/>
      <c r="B522" s="13"/>
      <c r="C522" s="13"/>
      <c r="D522" s="13"/>
      <c r="E522" s="13"/>
      <c r="F522" s="13"/>
      <c r="M522" s="13"/>
    </row>
    <row r="523" ht="15.75" customHeight="1">
      <c r="A523" s="13"/>
      <c r="B523" s="13"/>
      <c r="C523" s="13"/>
      <c r="D523" s="13"/>
      <c r="E523" s="13"/>
      <c r="F523" s="13"/>
      <c r="M523" s="13"/>
    </row>
    <row r="524" ht="15.75" customHeight="1">
      <c r="A524" s="13"/>
      <c r="B524" s="13"/>
      <c r="C524" s="13"/>
      <c r="D524" s="13"/>
      <c r="E524" s="13"/>
      <c r="F524" s="13"/>
      <c r="M524" s="13"/>
    </row>
    <row r="525" ht="15.75" customHeight="1">
      <c r="A525" s="13"/>
      <c r="B525" s="13"/>
      <c r="C525" s="13"/>
      <c r="D525" s="13"/>
      <c r="E525" s="13"/>
      <c r="F525" s="13"/>
      <c r="M525" s="13"/>
    </row>
    <row r="526" ht="15.75" customHeight="1">
      <c r="A526" s="13"/>
      <c r="B526" s="13"/>
      <c r="C526" s="13"/>
      <c r="D526" s="13"/>
      <c r="E526" s="13"/>
      <c r="F526" s="13"/>
      <c r="M526" s="13"/>
    </row>
    <row r="527" ht="15.75" customHeight="1">
      <c r="A527" s="13"/>
      <c r="B527" s="13"/>
      <c r="C527" s="13"/>
      <c r="D527" s="13"/>
      <c r="E527" s="13"/>
      <c r="F527" s="13"/>
      <c r="M527" s="13"/>
    </row>
    <row r="528" ht="15.75" customHeight="1">
      <c r="A528" s="13"/>
      <c r="B528" s="13"/>
      <c r="C528" s="13"/>
      <c r="D528" s="13"/>
      <c r="E528" s="13"/>
      <c r="F528" s="13"/>
      <c r="M528" s="13"/>
    </row>
    <row r="529" ht="15.75" customHeight="1">
      <c r="A529" s="13"/>
      <c r="B529" s="13"/>
      <c r="C529" s="13"/>
      <c r="D529" s="13"/>
      <c r="E529" s="13"/>
      <c r="F529" s="13"/>
      <c r="M529" s="13"/>
    </row>
    <row r="530" ht="15.75" customHeight="1">
      <c r="A530" s="13"/>
      <c r="B530" s="13"/>
      <c r="C530" s="13"/>
      <c r="D530" s="13"/>
      <c r="E530" s="13"/>
      <c r="F530" s="13"/>
      <c r="M530" s="13"/>
    </row>
    <row r="531" ht="15.75" customHeight="1">
      <c r="A531" s="13"/>
      <c r="B531" s="13"/>
      <c r="C531" s="13"/>
      <c r="D531" s="13"/>
      <c r="E531" s="13"/>
      <c r="F531" s="13"/>
      <c r="M531" s="13"/>
    </row>
    <row r="532" ht="15.75" customHeight="1">
      <c r="A532" s="13"/>
      <c r="B532" s="13"/>
      <c r="C532" s="13"/>
      <c r="D532" s="13"/>
      <c r="E532" s="13"/>
      <c r="F532" s="13"/>
      <c r="M532" s="13"/>
    </row>
    <row r="533" ht="15.75" customHeight="1">
      <c r="A533" s="13"/>
      <c r="B533" s="13"/>
      <c r="C533" s="13"/>
      <c r="D533" s="13"/>
      <c r="E533" s="13"/>
      <c r="F533" s="13"/>
      <c r="M533" s="13"/>
    </row>
    <row r="534" ht="15.75" customHeight="1">
      <c r="A534" s="13"/>
      <c r="B534" s="13"/>
      <c r="C534" s="13"/>
      <c r="D534" s="13"/>
      <c r="E534" s="13"/>
      <c r="F534" s="13"/>
      <c r="M534" s="13"/>
    </row>
    <row r="535" ht="15.75" customHeight="1">
      <c r="A535" s="13"/>
      <c r="B535" s="13"/>
      <c r="C535" s="13"/>
      <c r="D535" s="13"/>
      <c r="E535" s="13"/>
      <c r="F535" s="13"/>
      <c r="M535" s="13"/>
    </row>
    <row r="536" ht="15.75" customHeight="1">
      <c r="A536" s="13"/>
      <c r="B536" s="13"/>
      <c r="C536" s="13"/>
      <c r="D536" s="13"/>
      <c r="E536" s="13"/>
      <c r="F536" s="13"/>
      <c r="M536" s="13"/>
    </row>
    <row r="537" ht="15.75" customHeight="1">
      <c r="A537" s="13"/>
      <c r="B537" s="13"/>
      <c r="C537" s="13"/>
      <c r="D537" s="13"/>
      <c r="E537" s="13"/>
      <c r="F537" s="13"/>
      <c r="M537" s="13"/>
    </row>
    <row r="538" ht="15.75" customHeight="1">
      <c r="A538" s="13"/>
      <c r="B538" s="13"/>
      <c r="C538" s="13"/>
      <c r="D538" s="13"/>
      <c r="E538" s="13"/>
      <c r="F538" s="13"/>
      <c r="M538" s="13"/>
    </row>
    <row r="539" ht="15.75" customHeight="1">
      <c r="A539" s="13"/>
      <c r="B539" s="13"/>
      <c r="C539" s="13"/>
      <c r="D539" s="13"/>
      <c r="E539" s="13"/>
      <c r="F539" s="13"/>
      <c r="M539" s="13"/>
    </row>
    <row r="540" ht="15.75" customHeight="1">
      <c r="A540" s="13"/>
      <c r="B540" s="13"/>
      <c r="C540" s="13"/>
      <c r="D540" s="13"/>
      <c r="E540" s="13"/>
      <c r="F540" s="13"/>
      <c r="M540" s="13"/>
    </row>
    <row r="541" ht="15.75" customHeight="1">
      <c r="A541" s="13"/>
      <c r="B541" s="13"/>
      <c r="C541" s="13"/>
      <c r="D541" s="13"/>
      <c r="E541" s="13"/>
      <c r="F541" s="13"/>
      <c r="M541" s="13"/>
    </row>
    <row r="542" ht="15.75" customHeight="1">
      <c r="A542" s="13"/>
      <c r="B542" s="13"/>
      <c r="C542" s="13"/>
      <c r="D542" s="13"/>
      <c r="E542" s="13"/>
      <c r="F542" s="13"/>
      <c r="M542" s="13"/>
    </row>
    <row r="543" ht="15.75" customHeight="1">
      <c r="A543" s="13"/>
      <c r="B543" s="13"/>
      <c r="C543" s="13"/>
      <c r="D543" s="13"/>
      <c r="E543" s="13"/>
      <c r="F543" s="13"/>
      <c r="M543" s="13"/>
    </row>
    <row r="544" ht="15.75" customHeight="1">
      <c r="A544" s="13"/>
      <c r="B544" s="13"/>
      <c r="C544" s="13"/>
      <c r="D544" s="13"/>
      <c r="E544" s="13"/>
      <c r="F544" s="13"/>
      <c r="M544" s="13"/>
    </row>
    <row r="545" ht="15.75" customHeight="1">
      <c r="A545" s="13"/>
      <c r="B545" s="13"/>
      <c r="C545" s="13"/>
      <c r="D545" s="13"/>
      <c r="E545" s="13"/>
      <c r="F545" s="13"/>
      <c r="M545" s="13"/>
    </row>
    <row r="546" ht="15.75" customHeight="1">
      <c r="A546" s="13"/>
      <c r="B546" s="13"/>
      <c r="C546" s="13"/>
      <c r="D546" s="13"/>
      <c r="E546" s="13"/>
      <c r="F546" s="13"/>
      <c r="M546" s="13"/>
    </row>
    <row r="547" ht="15.75" customHeight="1">
      <c r="A547" s="13"/>
      <c r="B547" s="13"/>
      <c r="C547" s="13"/>
      <c r="D547" s="13"/>
      <c r="E547" s="13"/>
      <c r="F547" s="13"/>
      <c r="M547" s="13"/>
    </row>
    <row r="548" ht="15.75" customHeight="1">
      <c r="A548" s="13"/>
      <c r="B548" s="13"/>
      <c r="C548" s="13"/>
      <c r="D548" s="13"/>
      <c r="E548" s="13"/>
      <c r="F548" s="13"/>
      <c r="M548" s="13"/>
    </row>
    <row r="549" ht="15.75" customHeight="1">
      <c r="A549" s="13"/>
      <c r="B549" s="13"/>
      <c r="C549" s="13"/>
      <c r="D549" s="13"/>
      <c r="E549" s="13"/>
      <c r="F549" s="13"/>
      <c r="M549" s="13"/>
    </row>
    <row r="550" ht="15.75" customHeight="1">
      <c r="A550" s="13"/>
      <c r="B550" s="13"/>
      <c r="C550" s="13"/>
      <c r="D550" s="13"/>
      <c r="E550" s="13"/>
      <c r="F550" s="13"/>
      <c r="M550" s="13"/>
    </row>
    <row r="551" ht="15.75" customHeight="1">
      <c r="A551" s="13"/>
      <c r="B551" s="13"/>
      <c r="C551" s="13"/>
      <c r="D551" s="13"/>
      <c r="E551" s="13"/>
      <c r="F551" s="13"/>
      <c r="M551" s="13"/>
    </row>
    <row r="552" ht="15.75" customHeight="1">
      <c r="A552" s="13"/>
      <c r="B552" s="13"/>
      <c r="C552" s="13"/>
      <c r="D552" s="13"/>
      <c r="E552" s="13"/>
      <c r="F552" s="13"/>
      <c r="M552" s="13"/>
    </row>
    <row r="553" ht="15.75" customHeight="1">
      <c r="A553" s="13"/>
      <c r="B553" s="13"/>
      <c r="C553" s="13"/>
      <c r="D553" s="13"/>
      <c r="E553" s="13"/>
      <c r="F553" s="13"/>
      <c r="M553" s="13"/>
    </row>
    <row r="554" ht="15.75" customHeight="1">
      <c r="A554" s="13"/>
      <c r="B554" s="13"/>
      <c r="C554" s="13"/>
      <c r="D554" s="13"/>
      <c r="E554" s="13"/>
      <c r="F554" s="13"/>
      <c r="M554" s="13"/>
    </row>
    <row r="555" ht="15.75" customHeight="1">
      <c r="A555" s="13"/>
      <c r="B555" s="13"/>
      <c r="C555" s="13"/>
      <c r="D555" s="13"/>
      <c r="E555" s="13"/>
      <c r="F555" s="13"/>
      <c r="M555" s="13"/>
    </row>
    <row r="556" ht="15.75" customHeight="1">
      <c r="A556" s="13"/>
      <c r="B556" s="13"/>
      <c r="C556" s="13"/>
      <c r="D556" s="13"/>
      <c r="E556" s="13"/>
      <c r="F556" s="13"/>
      <c r="M556" s="13"/>
    </row>
    <row r="557" ht="15.75" customHeight="1">
      <c r="A557" s="13"/>
      <c r="B557" s="13"/>
      <c r="C557" s="13"/>
      <c r="D557" s="13"/>
      <c r="E557" s="13"/>
      <c r="F557" s="13"/>
      <c r="M557" s="13"/>
    </row>
    <row r="558" ht="15.75" customHeight="1">
      <c r="A558" s="13"/>
      <c r="B558" s="13"/>
      <c r="C558" s="13"/>
      <c r="D558" s="13"/>
      <c r="E558" s="13"/>
      <c r="F558" s="13"/>
      <c r="M558" s="13"/>
    </row>
    <row r="559" ht="15.75" customHeight="1">
      <c r="A559" s="13"/>
      <c r="B559" s="13"/>
      <c r="C559" s="13"/>
      <c r="D559" s="13"/>
      <c r="E559" s="13"/>
      <c r="F559" s="13"/>
      <c r="M559" s="13"/>
    </row>
    <row r="560" ht="15.75" customHeight="1">
      <c r="A560" s="13"/>
      <c r="B560" s="13"/>
      <c r="C560" s="13"/>
      <c r="D560" s="13"/>
      <c r="E560" s="13"/>
      <c r="F560" s="13"/>
      <c r="M560" s="13"/>
    </row>
    <row r="561" ht="15.75" customHeight="1">
      <c r="A561" s="13"/>
      <c r="B561" s="13"/>
      <c r="C561" s="13"/>
      <c r="D561" s="13"/>
      <c r="E561" s="13"/>
      <c r="F561" s="13"/>
      <c r="M561" s="13"/>
    </row>
    <row r="562" ht="15.75" customHeight="1">
      <c r="A562" s="13"/>
      <c r="B562" s="13"/>
      <c r="C562" s="13"/>
      <c r="D562" s="13"/>
      <c r="E562" s="13"/>
      <c r="F562" s="13"/>
      <c r="M562" s="13"/>
    </row>
    <row r="563" ht="15.75" customHeight="1">
      <c r="A563" s="13"/>
      <c r="B563" s="13"/>
      <c r="C563" s="13"/>
      <c r="D563" s="13"/>
      <c r="E563" s="13"/>
      <c r="F563" s="13"/>
      <c r="M563" s="13"/>
    </row>
    <row r="564" ht="15.75" customHeight="1">
      <c r="A564" s="13"/>
      <c r="B564" s="13"/>
      <c r="C564" s="13"/>
      <c r="D564" s="13"/>
      <c r="E564" s="13"/>
      <c r="F564" s="13"/>
      <c r="M564" s="13"/>
    </row>
    <row r="565" ht="15.75" customHeight="1">
      <c r="A565" s="13"/>
      <c r="B565" s="13"/>
      <c r="C565" s="13"/>
      <c r="D565" s="13"/>
      <c r="E565" s="13"/>
      <c r="F565" s="13"/>
      <c r="M565" s="13"/>
    </row>
    <row r="566" ht="15.75" customHeight="1">
      <c r="A566" s="13"/>
      <c r="B566" s="13"/>
      <c r="C566" s="13"/>
      <c r="D566" s="13"/>
      <c r="E566" s="13"/>
      <c r="F566" s="13"/>
      <c r="M566" s="13"/>
    </row>
    <row r="567" ht="15.75" customHeight="1">
      <c r="A567" s="13"/>
      <c r="B567" s="13"/>
      <c r="C567" s="13"/>
      <c r="D567" s="13"/>
      <c r="E567" s="13"/>
      <c r="F567" s="13"/>
      <c r="M567" s="13"/>
    </row>
    <row r="568" ht="15.75" customHeight="1">
      <c r="A568" s="13"/>
      <c r="B568" s="13"/>
      <c r="C568" s="13"/>
      <c r="D568" s="13"/>
      <c r="E568" s="13"/>
      <c r="F568" s="13"/>
      <c r="M568" s="13"/>
    </row>
    <row r="569" ht="15.75" customHeight="1">
      <c r="A569" s="13"/>
      <c r="B569" s="13"/>
      <c r="C569" s="13"/>
      <c r="D569" s="13"/>
      <c r="E569" s="13"/>
      <c r="F569" s="13"/>
      <c r="M569" s="13"/>
    </row>
    <row r="570" ht="15.75" customHeight="1">
      <c r="A570" s="13"/>
      <c r="B570" s="13"/>
      <c r="C570" s="13"/>
      <c r="D570" s="13"/>
      <c r="E570" s="13"/>
      <c r="F570" s="13"/>
      <c r="M570" s="13"/>
    </row>
    <row r="571" ht="15.75" customHeight="1">
      <c r="A571" s="13"/>
      <c r="B571" s="13"/>
      <c r="C571" s="13"/>
      <c r="D571" s="13"/>
      <c r="E571" s="13"/>
      <c r="F571" s="13"/>
      <c r="M571" s="13"/>
    </row>
    <row r="572" ht="15.75" customHeight="1">
      <c r="A572" s="13"/>
      <c r="B572" s="13"/>
      <c r="C572" s="13"/>
      <c r="D572" s="13"/>
      <c r="E572" s="13"/>
      <c r="F572" s="13"/>
      <c r="M572" s="13"/>
    </row>
    <row r="573" ht="15.75" customHeight="1">
      <c r="A573" s="13"/>
      <c r="B573" s="13"/>
      <c r="C573" s="13"/>
      <c r="D573" s="13"/>
      <c r="E573" s="13"/>
      <c r="F573" s="13"/>
      <c r="M573" s="13"/>
    </row>
    <row r="574" ht="15.75" customHeight="1">
      <c r="A574" s="13"/>
      <c r="B574" s="13"/>
      <c r="C574" s="13"/>
      <c r="D574" s="13"/>
      <c r="E574" s="13"/>
      <c r="F574" s="13"/>
      <c r="M574" s="13"/>
    </row>
    <row r="575" ht="15.75" customHeight="1">
      <c r="A575" s="13"/>
      <c r="B575" s="13"/>
      <c r="C575" s="13"/>
      <c r="D575" s="13"/>
      <c r="E575" s="13"/>
      <c r="F575" s="13"/>
      <c r="M575" s="13"/>
    </row>
    <row r="576" ht="15.75" customHeight="1">
      <c r="A576" s="13"/>
      <c r="B576" s="13"/>
      <c r="C576" s="13"/>
      <c r="D576" s="13"/>
      <c r="E576" s="13"/>
      <c r="F576" s="13"/>
      <c r="M576" s="13"/>
    </row>
    <row r="577" ht="15.75" customHeight="1">
      <c r="A577" s="13"/>
      <c r="B577" s="13"/>
      <c r="C577" s="13"/>
      <c r="D577" s="13"/>
      <c r="E577" s="13"/>
      <c r="F577" s="13"/>
      <c r="M577" s="13"/>
    </row>
    <row r="578" ht="15.75" customHeight="1">
      <c r="A578" s="13"/>
      <c r="B578" s="13"/>
      <c r="C578" s="13"/>
      <c r="D578" s="13"/>
      <c r="E578" s="13"/>
      <c r="F578" s="13"/>
      <c r="M578" s="13"/>
    </row>
    <row r="579" ht="15.75" customHeight="1">
      <c r="A579" s="13"/>
      <c r="B579" s="13"/>
      <c r="C579" s="13"/>
      <c r="D579" s="13"/>
      <c r="E579" s="13"/>
      <c r="F579" s="13"/>
      <c r="M579" s="13"/>
    </row>
    <row r="580" ht="15.75" customHeight="1">
      <c r="A580" s="13"/>
      <c r="B580" s="13"/>
      <c r="C580" s="13"/>
      <c r="D580" s="13"/>
      <c r="E580" s="13"/>
      <c r="F580" s="13"/>
      <c r="M580" s="13"/>
    </row>
    <row r="581" ht="15.75" customHeight="1">
      <c r="A581" s="13"/>
      <c r="B581" s="13"/>
      <c r="C581" s="13"/>
      <c r="D581" s="13"/>
      <c r="E581" s="13"/>
      <c r="F581" s="13"/>
      <c r="M581" s="13"/>
    </row>
    <row r="582" ht="15.75" customHeight="1">
      <c r="A582" s="13"/>
      <c r="B582" s="13"/>
      <c r="C582" s="13"/>
      <c r="D582" s="13"/>
      <c r="E582" s="13"/>
      <c r="F582" s="13"/>
      <c r="M582" s="13"/>
    </row>
    <row r="583" ht="15.75" customHeight="1">
      <c r="A583" s="13"/>
      <c r="B583" s="13"/>
      <c r="C583" s="13"/>
      <c r="D583" s="13"/>
      <c r="E583" s="13"/>
      <c r="F583" s="13"/>
      <c r="M583" s="13"/>
    </row>
    <row r="584" ht="15.75" customHeight="1">
      <c r="A584" s="13"/>
      <c r="B584" s="13"/>
      <c r="C584" s="13"/>
      <c r="D584" s="13"/>
      <c r="E584" s="13"/>
      <c r="F584" s="13"/>
      <c r="M584" s="13"/>
    </row>
    <row r="585" ht="15.75" customHeight="1">
      <c r="A585" s="13"/>
      <c r="B585" s="13"/>
      <c r="C585" s="13"/>
      <c r="D585" s="13"/>
      <c r="E585" s="13"/>
      <c r="F585" s="13"/>
      <c r="M585" s="13"/>
    </row>
    <row r="586" ht="15.75" customHeight="1">
      <c r="A586" s="13"/>
      <c r="B586" s="13"/>
      <c r="C586" s="13"/>
      <c r="D586" s="13"/>
      <c r="E586" s="13"/>
      <c r="F586" s="13"/>
      <c r="M586" s="13"/>
    </row>
    <row r="587" ht="15.75" customHeight="1">
      <c r="A587" s="13"/>
      <c r="B587" s="13"/>
      <c r="C587" s="13"/>
      <c r="D587" s="13"/>
      <c r="E587" s="13"/>
      <c r="F587" s="13"/>
      <c r="M587" s="13"/>
    </row>
    <row r="588" ht="15.75" customHeight="1">
      <c r="A588" s="13"/>
      <c r="B588" s="13"/>
      <c r="C588" s="13"/>
      <c r="D588" s="13"/>
      <c r="E588" s="13"/>
      <c r="F588" s="13"/>
      <c r="M588" s="13"/>
    </row>
    <row r="589" ht="15.75" customHeight="1">
      <c r="A589" s="13"/>
      <c r="B589" s="13"/>
      <c r="C589" s="13"/>
      <c r="D589" s="13"/>
      <c r="E589" s="13"/>
      <c r="F589" s="13"/>
      <c r="M589" s="13"/>
    </row>
    <row r="590" ht="15.75" customHeight="1">
      <c r="A590" s="13"/>
      <c r="B590" s="13"/>
      <c r="C590" s="13"/>
      <c r="D590" s="13"/>
      <c r="E590" s="13"/>
      <c r="F590" s="13"/>
      <c r="M590" s="13"/>
    </row>
    <row r="591" ht="15.75" customHeight="1">
      <c r="A591" s="13"/>
      <c r="B591" s="13"/>
      <c r="C591" s="13"/>
      <c r="D591" s="13"/>
      <c r="E591" s="13"/>
      <c r="F591" s="13"/>
      <c r="M591" s="13"/>
    </row>
    <row r="592" ht="15.75" customHeight="1">
      <c r="A592" s="13"/>
      <c r="B592" s="13"/>
      <c r="C592" s="13"/>
      <c r="D592" s="13"/>
      <c r="E592" s="13"/>
      <c r="F592" s="13"/>
      <c r="M592" s="13"/>
    </row>
    <row r="593" ht="15.75" customHeight="1">
      <c r="A593" s="13"/>
      <c r="B593" s="13"/>
      <c r="C593" s="13"/>
      <c r="D593" s="13"/>
      <c r="E593" s="13"/>
      <c r="F593" s="13"/>
      <c r="M593" s="13"/>
    </row>
    <row r="594" ht="15.75" customHeight="1">
      <c r="A594" s="13"/>
      <c r="B594" s="13"/>
      <c r="C594" s="13"/>
      <c r="D594" s="13"/>
      <c r="E594" s="13"/>
      <c r="F594" s="13"/>
      <c r="M594" s="13"/>
    </row>
    <row r="595" ht="15.75" customHeight="1">
      <c r="A595" s="13"/>
      <c r="B595" s="13"/>
      <c r="C595" s="13"/>
      <c r="D595" s="13"/>
      <c r="E595" s="13"/>
      <c r="F595" s="13"/>
      <c r="M595" s="13"/>
    </row>
    <row r="596" ht="15.75" customHeight="1">
      <c r="A596" s="13"/>
      <c r="B596" s="13"/>
      <c r="C596" s="13"/>
      <c r="D596" s="13"/>
      <c r="E596" s="13"/>
      <c r="F596" s="13"/>
      <c r="M596" s="13"/>
    </row>
    <row r="597" ht="15.75" customHeight="1">
      <c r="A597" s="13"/>
      <c r="B597" s="13"/>
      <c r="C597" s="13"/>
      <c r="D597" s="13"/>
      <c r="E597" s="13"/>
      <c r="F597" s="13"/>
      <c r="M597" s="13"/>
    </row>
    <row r="598" ht="15.75" customHeight="1">
      <c r="A598" s="13"/>
      <c r="B598" s="13"/>
      <c r="C598" s="13"/>
      <c r="D598" s="13"/>
      <c r="E598" s="13"/>
      <c r="F598" s="13"/>
      <c r="M598" s="13"/>
    </row>
    <row r="599" ht="15.75" customHeight="1">
      <c r="A599" s="13"/>
      <c r="B599" s="13"/>
      <c r="C599" s="13"/>
      <c r="D599" s="13"/>
      <c r="E599" s="13"/>
      <c r="F599" s="13"/>
      <c r="M599" s="13"/>
    </row>
    <row r="600" ht="15.75" customHeight="1">
      <c r="A600" s="13"/>
      <c r="B600" s="13"/>
      <c r="C600" s="13"/>
      <c r="D600" s="13"/>
      <c r="E600" s="13"/>
      <c r="F600" s="13"/>
      <c r="M600" s="13"/>
    </row>
    <row r="601" ht="15.75" customHeight="1">
      <c r="A601" s="13"/>
      <c r="B601" s="13"/>
      <c r="C601" s="13"/>
      <c r="D601" s="13"/>
      <c r="E601" s="13"/>
      <c r="F601" s="13"/>
      <c r="M601" s="13"/>
    </row>
    <row r="602" ht="15.75" customHeight="1">
      <c r="A602" s="13"/>
      <c r="B602" s="13"/>
      <c r="C602" s="13"/>
      <c r="D602" s="13"/>
      <c r="E602" s="13"/>
      <c r="F602" s="13"/>
      <c r="M602" s="13"/>
    </row>
    <row r="603" ht="15.75" customHeight="1">
      <c r="A603" s="13"/>
      <c r="B603" s="13"/>
      <c r="C603" s="13"/>
      <c r="D603" s="13"/>
      <c r="E603" s="13"/>
      <c r="F603" s="13"/>
      <c r="M603" s="13"/>
    </row>
    <row r="604" ht="15.75" customHeight="1">
      <c r="A604" s="13"/>
      <c r="B604" s="13"/>
      <c r="C604" s="13"/>
      <c r="D604" s="13"/>
      <c r="E604" s="13"/>
      <c r="F604" s="13"/>
      <c r="M604" s="13"/>
    </row>
    <row r="605" ht="15.75" customHeight="1">
      <c r="A605" s="13"/>
      <c r="B605" s="13"/>
      <c r="C605" s="13"/>
      <c r="D605" s="13"/>
      <c r="E605" s="13"/>
      <c r="F605" s="13"/>
      <c r="M605" s="13"/>
    </row>
    <row r="606" ht="15.75" customHeight="1">
      <c r="A606" s="13"/>
      <c r="B606" s="13"/>
      <c r="C606" s="13"/>
      <c r="D606" s="13"/>
      <c r="E606" s="13"/>
      <c r="F606" s="13"/>
      <c r="M606" s="13"/>
    </row>
    <row r="607" ht="15.75" customHeight="1">
      <c r="A607" s="13"/>
      <c r="B607" s="13"/>
      <c r="C607" s="13"/>
      <c r="D607" s="13"/>
      <c r="E607" s="13"/>
      <c r="F607" s="13"/>
      <c r="M607" s="13"/>
    </row>
    <row r="608" ht="15.75" customHeight="1">
      <c r="A608" s="13"/>
      <c r="B608" s="13"/>
      <c r="C608" s="13"/>
      <c r="D608" s="13"/>
      <c r="E608" s="13"/>
      <c r="F608" s="13"/>
      <c r="M608" s="13"/>
    </row>
    <row r="609" ht="15.75" customHeight="1">
      <c r="A609" s="13"/>
      <c r="B609" s="13"/>
      <c r="C609" s="13"/>
      <c r="D609" s="13"/>
      <c r="E609" s="13"/>
      <c r="F609" s="13"/>
      <c r="M609" s="13"/>
    </row>
    <row r="610" ht="15.75" customHeight="1">
      <c r="A610" s="13"/>
      <c r="B610" s="13"/>
      <c r="C610" s="13"/>
      <c r="D610" s="13"/>
      <c r="E610" s="13"/>
      <c r="F610" s="13"/>
      <c r="M610" s="13"/>
    </row>
    <row r="611" ht="15.75" customHeight="1">
      <c r="A611" s="13"/>
      <c r="B611" s="13"/>
      <c r="C611" s="13"/>
      <c r="D611" s="13"/>
      <c r="E611" s="13"/>
      <c r="F611" s="13"/>
      <c r="M611" s="13"/>
    </row>
    <row r="612" ht="15.75" customHeight="1">
      <c r="A612" s="13"/>
      <c r="B612" s="13"/>
      <c r="C612" s="13"/>
      <c r="D612" s="13"/>
      <c r="E612" s="13"/>
      <c r="F612" s="13"/>
      <c r="M612" s="13"/>
    </row>
    <row r="613" ht="15.75" customHeight="1">
      <c r="A613" s="13"/>
      <c r="B613" s="13"/>
      <c r="C613" s="13"/>
      <c r="D613" s="13"/>
      <c r="E613" s="13"/>
      <c r="F613" s="13"/>
      <c r="M613" s="13"/>
    </row>
    <row r="614" ht="15.75" customHeight="1">
      <c r="A614" s="13"/>
      <c r="B614" s="13"/>
      <c r="C614" s="13"/>
      <c r="D614" s="13"/>
      <c r="E614" s="13"/>
      <c r="F614" s="13"/>
      <c r="M614" s="13"/>
    </row>
    <row r="615" ht="15.75" customHeight="1">
      <c r="A615" s="13"/>
      <c r="B615" s="13"/>
      <c r="C615" s="13"/>
      <c r="D615" s="13"/>
      <c r="E615" s="13"/>
      <c r="F615" s="13"/>
      <c r="M615" s="13"/>
    </row>
    <row r="616" ht="15.75" customHeight="1">
      <c r="A616" s="13"/>
      <c r="B616" s="13"/>
      <c r="C616" s="13"/>
      <c r="D616" s="13"/>
      <c r="E616" s="13"/>
      <c r="F616" s="13"/>
      <c r="M616" s="13"/>
    </row>
    <row r="617" ht="15.75" customHeight="1">
      <c r="A617" s="13"/>
      <c r="B617" s="13"/>
      <c r="C617" s="13"/>
      <c r="D617" s="13"/>
      <c r="E617" s="13"/>
      <c r="F617" s="13"/>
      <c r="M617" s="13"/>
    </row>
    <row r="618" ht="15.75" customHeight="1">
      <c r="A618" s="13"/>
      <c r="B618" s="13"/>
      <c r="C618" s="13"/>
      <c r="D618" s="13"/>
      <c r="E618" s="13"/>
      <c r="F618" s="13"/>
      <c r="M618" s="13"/>
    </row>
    <row r="619" ht="15.75" customHeight="1">
      <c r="A619" s="13"/>
      <c r="B619" s="13"/>
      <c r="C619" s="13"/>
      <c r="D619" s="13"/>
      <c r="E619" s="13"/>
      <c r="F619" s="13"/>
      <c r="M619" s="13"/>
    </row>
    <row r="620" ht="15.75" customHeight="1">
      <c r="A620" s="13"/>
      <c r="B620" s="13"/>
      <c r="C620" s="13"/>
      <c r="D620" s="13"/>
      <c r="E620" s="13"/>
      <c r="F620" s="13"/>
      <c r="M620" s="13"/>
    </row>
    <row r="621" ht="15.75" customHeight="1">
      <c r="A621" s="13"/>
      <c r="B621" s="13"/>
      <c r="C621" s="13"/>
      <c r="D621" s="13"/>
      <c r="E621" s="13"/>
      <c r="F621" s="13"/>
      <c r="M621" s="13"/>
    </row>
    <row r="622" ht="15.75" customHeight="1">
      <c r="A622" s="13"/>
      <c r="B622" s="13"/>
      <c r="C622" s="13"/>
      <c r="D622" s="13"/>
      <c r="E622" s="13"/>
      <c r="F622" s="13"/>
      <c r="M622" s="13"/>
    </row>
    <row r="623" ht="15.75" customHeight="1">
      <c r="A623" s="13"/>
      <c r="B623" s="13"/>
      <c r="C623" s="13"/>
      <c r="D623" s="13"/>
      <c r="E623" s="13"/>
      <c r="F623" s="13"/>
      <c r="M623" s="13"/>
    </row>
    <row r="624" ht="15.75" customHeight="1">
      <c r="A624" s="13"/>
      <c r="B624" s="13"/>
      <c r="C624" s="13"/>
      <c r="D624" s="13"/>
      <c r="E624" s="13"/>
      <c r="F624" s="13"/>
      <c r="M624" s="13"/>
    </row>
    <row r="625" ht="15.75" customHeight="1">
      <c r="A625" s="13"/>
      <c r="B625" s="13"/>
      <c r="C625" s="13"/>
      <c r="D625" s="13"/>
      <c r="E625" s="13"/>
      <c r="F625" s="13"/>
      <c r="M625" s="13"/>
    </row>
    <row r="626" ht="15.75" customHeight="1">
      <c r="A626" s="13"/>
      <c r="B626" s="13"/>
      <c r="C626" s="13"/>
      <c r="D626" s="13"/>
      <c r="E626" s="13"/>
      <c r="F626" s="13"/>
      <c r="M626" s="13"/>
    </row>
    <row r="627" ht="15.75" customHeight="1">
      <c r="A627" s="13"/>
      <c r="B627" s="13"/>
      <c r="C627" s="13"/>
      <c r="D627" s="13"/>
      <c r="E627" s="13"/>
      <c r="F627" s="13"/>
      <c r="M627" s="13"/>
    </row>
    <row r="628" ht="15.75" customHeight="1">
      <c r="A628" s="13"/>
      <c r="B628" s="13"/>
      <c r="C628" s="13"/>
      <c r="D628" s="13"/>
      <c r="E628" s="13"/>
      <c r="F628" s="13"/>
      <c r="M628" s="13"/>
    </row>
    <row r="629" ht="15.75" customHeight="1">
      <c r="A629" s="13"/>
      <c r="B629" s="13"/>
      <c r="C629" s="13"/>
      <c r="D629" s="13"/>
      <c r="E629" s="13"/>
      <c r="F629" s="13"/>
      <c r="M629" s="13"/>
    </row>
    <row r="630" ht="15.75" customHeight="1">
      <c r="A630" s="13"/>
      <c r="B630" s="13"/>
      <c r="C630" s="13"/>
      <c r="D630" s="13"/>
      <c r="E630" s="13"/>
      <c r="F630" s="13"/>
      <c r="M630" s="13"/>
    </row>
    <row r="631" ht="15.75" customHeight="1">
      <c r="A631" s="13"/>
      <c r="B631" s="13"/>
      <c r="C631" s="13"/>
      <c r="D631" s="13"/>
      <c r="E631" s="13"/>
      <c r="F631" s="13"/>
      <c r="M631" s="13"/>
    </row>
    <row r="632" ht="15.75" customHeight="1">
      <c r="A632" s="13"/>
      <c r="B632" s="13"/>
      <c r="C632" s="13"/>
      <c r="D632" s="13"/>
      <c r="E632" s="13"/>
      <c r="F632" s="13"/>
      <c r="M632" s="13"/>
    </row>
    <row r="633" ht="15.75" customHeight="1">
      <c r="A633" s="13"/>
      <c r="B633" s="13"/>
      <c r="C633" s="13"/>
      <c r="D633" s="13"/>
      <c r="E633" s="13"/>
      <c r="F633" s="13"/>
      <c r="M633" s="13"/>
    </row>
    <row r="634" ht="15.75" customHeight="1">
      <c r="A634" s="13"/>
      <c r="B634" s="13"/>
      <c r="C634" s="13"/>
      <c r="D634" s="13"/>
      <c r="E634" s="13"/>
      <c r="F634" s="13"/>
      <c r="M634" s="13"/>
    </row>
    <row r="635" ht="15.75" customHeight="1">
      <c r="A635" s="13"/>
      <c r="B635" s="13"/>
      <c r="C635" s="13"/>
      <c r="D635" s="13"/>
      <c r="E635" s="13"/>
      <c r="F635" s="13"/>
      <c r="M635" s="13"/>
    </row>
    <row r="636" ht="15.75" customHeight="1">
      <c r="A636" s="13"/>
      <c r="B636" s="13"/>
      <c r="C636" s="13"/>
      <c r="D636" s="13"/>
      <c r="E636" s="13"/>
      <c r="F636" s="13"/>
      <c r="M636" s="13"/>
    </row>
    <row r="637" ht="15.75" customHeight="1">
      <c r="A637" s="13"/>
      <c r="B637" s="13"/>
      <c r="C637" s="13"/>
      <c r="D637" s="13"/>
      <c r="E637" s="13"/>
      <c r="F637" s="13"/>
      <c r="M637" s="13"/>
    </row>
    <row r="638" ht="15.75" customHeight="1">
      <c r="A638" s="13"/>
      <c r="B638" s="13"/>
      <c r="C638" s="13"/>
      <c r="D638" s="13"/>
      <c r="E638" s="13"/>
      <c r="F638" s="13"/>
      <c r="M638" s="13"/>
    </row>
    <row r="639" ht="15.75" customHeight="1">
      <c r="A639" s="13"/>
      <c r="B639" s="13"/>
      <c r="C639" s="13"/>
      <c r="D639" s="13"/>
      <c r="E639" s="13"/>
      <c r="F639" s="13"/>
      <c r="M639" s="13"/>
    </row>
    <row r="640" ht="15.75" customHeight="1">
      <c r="A640" s="13"/>
      <c r="B640" s="13"/>
      <c r="C640" s="13"/>
      <c r="D640" s="13"/>
      <c r="E640" s="13"/>
      <c r="F640" s="13"/>
      <c r="M640" s="13"/>
    </row>
    <row r="641" ht="15.75" customHeight="1">
      <c r="A641" s="13"/>
      <c r="B641" s="13"/>
      <c r="C641" s="13"/>
      <c r="D641" s="13"/>
      <c r="E641" s="13"/>
      <c r="F641" s="13"/>
      <c r="M641" s="13"/>
    </row>
    <row r="642" ht="15.75" customHeight="1">
      <c r="A642" s="13"/>
      <c r="B642" s="13"/>
      <c r="C642" s="13"/>
      <c r="D642" s="13"/>
      <c r="E642" s="13"/>
      <c r="F642" s="13"/>
      <c r="M642" s="13"/>
    </row>
    <row r="643" ht="15.75" customHeight="1">
      <c r="A643" s="13"/>
      <c r="B643" s="13"/>
      <c r="C643" s="13"/>
      <c r="D643" s="13"/>
      <c r="E643" s="13"/>
      <c r="F643" s="13"/>
      <c r="M643" s="13"/>
    </row>
    <row r="644" ht="15.75" customHeight="1">
      <c r="A644" s="13"/>
      <c r="B644" s="13"/>
      <c r="C644" s="13"/>
      <c r="D644" s="13"/>
      <c r="E644" s="13"/>
      <c r="F644" s="13"/>
      <c r="M644" s="13"/>
    </row>
    <row r="645" ht="15.75" customHeight="1">
      <c r="A645" s="13"/>
      <c r="B645" s="13"/>
      <c r="C645" s="13"/>
      <c r="D645" s="13"/>
      <c r="E645" s="13"/>
      <c r="F645" s="13"/>
      <c r="M645" s="13"/>
    </row>
    <row r="646" ht="15.75" customHeight="1">
      <c r="A646" s="13"/>
      <c r="B646" s="13"/>
      <c r="C646" s="13"/>
      <c r="D646" s="13"/>
      <c r="E646" s="13"/>
      <c r="F646" s="13"/>
      <c r="M646" s="13"/>
    </row>
    <row r="647" ht="15.75" customHeight="1">
      <c r="A647" s="13"/>
      <c r="B647" s="13"/>
      <c r="C647" s="13"/>
      <c r="D647" s="13"/>
      <c r="E647" s="13"/>
      <c r="F647" s="13"/>
      <c r="M647" s="13"/>
    </row>
    <row r="648" ht="15.75" customHeight="1">
      <c r="A648" s="13"/>
      <c r="B648" s="13"/>
      <c r="C648" s="13"/>
      <c r="D648" s="13"/>
      <c r="E648" s="13"/>
      <c r="F648" s="13"/>
      <c r="M648" s="13"/>
    </row>
    <row r="649" ht="15.75" customHeight="1">
      <c r="A649" s="13"/>
      <c r="B649" s="13"/>
      <c r="C649" s="13"/>
      <c r="D649" s="13"/>
      <c r="E649" s="13"/>
      <c r="F649" s="13"/>
      <c r="M649" s="13"/>
    </row>
    <row r="650" ht="15.75" customHeight="1">
      <c r="A650" s="13"/>
      <c r="B650" s="13"/>
      <c r="C650" s="13"/>
      <c r="D650" s="13"/>
      <c r="E650" s="13"/>
      <c r="F650" s="13"/>
      <c r="M650" s="13"/>
    </row>
    <row r="651" ht="15.75" customHeight="1">
      <c r="A651" s="13"/>
      <c r="B651" s="13"/>
      <c r="C651" s="13"/>
      <c r="D651" s="13"/>
      <c r="E651" s="13"/>
      <c r="F651" s="13"/>
      <c r="M651" s="13"/>
    </row>
    <row r="652" ht="15.75" customHeight="1">
      <c r="A652" s="13"/>
      <c r="B652" s="13"/>
      <c r="C652" s="13"/>
      <c r="D652" s="13"/>
      <c r="E652" s="13"/>
      <c r="F652" s="13"/>
      <c r="M652" s="13"/>
    </row>
    <row r="653" ht="15.75" customHeight="1">
      <c r="A653" s="13"/>
      <c r="B653" s="13"/>
      <c r="C653" s="13"/>
      <c r="D653" s="13"/>
      <c r="E653" s="13"/>
      <c r="F653" s="13"/>
      <c r="M653" s="13"/>
    </row>
    <row r="654" ht="15.75" customHeight="1">
      <c r="A654" s="13"/>
      <c r="B654" s="13"/>
      <c r="C654" s="13"/>
      <c r="D654" s="13"/>
      <c r="E654" s="13"/>
      <c r="F654" s="13"/>
      <c r="M654" s="13"/>
    </row>
    <row r="655" ht="15.75" customHeight="1">
      <c r="A655" s="13"/>
      <c r="B655" s="13"/>
      <c r="C655" s="13"/>
      <c r="D655" s="13"/>
      <c r="E655" s="13"/>
      <c r="F655" s="13"/>
      <c r="M655" s="13"/>
    </row>
    <row r="656" ht="15.75" customHeight="1">
      <c r="A656" s="13"/>
      <c r="B656" s="13"/>
      <c r="C656" s="13"/>
      <c r="D656" s="13"/>
      <c r="E656" s="13"/>
      <c r="F656" s="13"/>
      <c r="M656" s="13"/>
    </row>
    <row r="657" ht="15.75" customHeight="1">
      <c r="A657" s="13"/>
      <c r="B657" s="13"/>
      <c r="C657" s="13"/>
      <c r="D657" s="13"/>
      <c r="E657" s="13"/>
      <c r="F657" s="13"/>
      <c r="M657" s="13"/>
    </row>
    <row r="658" ht="15.75" customHeight="1">
      <c r="A658" s="13"/>
      <c r="B658" s="13"/>
      <c r="C658" s="13"/>
      <c r="D658" s="13"/>
      <c r="E658" s="13"/>
      <c r="F658" s="13"/>
      <c r="M658" s="13"/>
    </row>
    <row r="659" ht="15.75" customHeight="1">
      <c r="A659" s="13"/>
      <c r="B659" s="13"/>
      <c r="C659" s="13"/>
      <c r="D659" s="13"/>
      <c r="E659" s="13"/>
      <c r="F659" s="13"/>
      <c r="M659" s="13"/>
    </row>
    <row r="660" ht="15.75" customHeight="1">
      <c r="A660" s="13"/>
      <c r="B660" s="13"/>
      <c r="C660" s="13"/>
      <c r="D660" s="13"/>
      <c r="E660" s="13"/>
      <c r="F660" s="13"/>
      <c r="M660" s="13"/>
    </row>
    <row r="661" ht="15.75" customHeight="1">
      <c r="A661" s="13"/>
      <c r="B661" s="13"/>
      <c r="C661" s="13"/>
      <c r="D661" s="13"/>
      <c r="E661" s="13"/>
      <c r="F661" s="13"/>
      <c r="M661" s="13"/>
    </row>
    <row r="662" ht="15.75" customHeight="1">
      <c r="A662" s="13"/>
      <c r="B662" s="13"/>
      <c r="C662" s="13"/>
      <c r="D662" s="13"/>
      <c r="E662" s="13"/>
      <c r="F662" s="13"/>
      <c r="M662" s="13"/>
    </row>
    <row r="663" ht="15.75" customHeight="1">
      <c r="A663" s="13"/>
      <c r="B663" s="13"/>
      <c r="C663" s="13"/>
      <c r="D663" s="13"/>
      <c r="E663" s="13"/>
      <c r="F663" s="13"/>
      <c r="M663" s="13"/>
    </row>
    <row r="664" ht="15.75" customHeight="1">
      <c r="A664" s="13"/>
      <c r="B664" s="13"/>
      <c r="C664" s="13"/>
      <c r="D664" s="13"/>
      <c r="E664" s="13"/>
      <c r="F664" s="13"/>
      <c r="M664" s="13"/>
    </row>
    <row r="665" ht="15.75" customHeight="1">
      <c r="A665" s="13"/>
      <c r="B665" s="13"/>
      <c r="C665" s="13"/>
      <c r="D665" s="13"/>
      <c r="E665" s="13"/>
      <c r="F665" s="13"/>
      <c r="M665" s="13"/>
    </row>
    <row r="666" ht="15.75" customHeight="1">
      <c r="A666" s="13"/>
      <c r="B666" s="13"/>
      <c r="C666" s="13"/>
      <c r="D666" s="13"/>
      <c r="E666" s="13"/>
      <c r="F666" s="13"/>
      <c r="M666" s="13"/>
    </row>
    <row r="667" ht="15.75" customHeight="1">
      <c r="A667" s="13"/>
      <c r="B667" s="13"/>
      <c r="C667" s="13"/>
      <c r="D667" s="13"/>
      <c r="E667" s="13"/>
      <c r="F667" s="13"/>
      <c r="M667" s="13"/>
    </row>
    <row r="668" ht="15.75" customHeight="1">
      <c r="A668" s="13"/>
      <c r="B668" s="13"/>
      <c r="C668" s="13"/>
      <c r="D668" s="13"/>
      <c r="E668" s="13"/>
      <c r="F668" s="13"/>
      <c r="M668" s="13"/>
    </row>
    <row r="669" ht="15.75" customHeight="1">
      <c r="A669" s="13"/>
      <c r="B669" s="13"/>
      <c r="C669" s="13"/>
      <c r="D669" s="13"/>
      <c r="E669" s="13"/>
      <c r="F669" s="13"/>
      <c r="M669" s="13"/>
    </row>
    <row r="670" ht="15.75" customHeight="1">
      <c r="A670" s="13"/>
      <c r="B670" s="13"/>
      <c r="C670" s="13"/>
      <c r="D670" s="13"/>
      <c r="E670" s="13"/>
      <c r="F670" s="13"/>
      <c r="M670" s="13"/>
    </row>
    <row r="671" ht="15.75" customHeight="1">
      <c r="A671" s="13"/>
      <c r="B671" s="13"/>
      <c r="C671" s="13"/>
      <c r="D671" s="13"/>
      <c r="E671" s="13"/>
      <c r="F671" s="13"/>
      <c r="M671" s="13"/>
    </row>
    <row r="672" ht="15.75" customHeight="1">
      <c r="A672" s="13"/>
      <c r="B672" s="13"/>
      <c r="C672" s="13"/>
      <c r="D672" s="13"/>
      <c r="E672" s="13"/>
      <c r="F672" s="13"/>
      <c r="M672" s="13"/>
    </row>
    <row r="673" ht="15.75" customHeight="1">
      <c r="A673" s="13"/>
      <c r="B673" s="13"/>
      <c r="C673" s="13"/>
      <c r="D673" s="13"/>
      <c r="E673" s="13"/>
      <c r="F673" s="13"/>
      <c r="M673" s="13"/>
    </row>
    <row r="674" ht="15.75" customHeight="1">
      <c r="A674" s="13"/>
      <c r="B674" s="13"/>
      <c r="C674" s="13"/>
      <c r="D674" s="13"/>
      <c r="E674" s="13"/>
      <c r="F674" s="13"/>
      <c r="M674" s="13"/>
    </row>
    <row r="675" ht="15.75" customHeight="1">
      <c r="A675" s="13"/>
      <c r="B675" s="13"/>
      <c r="C675" s="13"/>
      <c r="D675" s="13"/>
      <c r="E675" s="13"/>
      <c r="F675" s="13"/>
      <c r="M675" s="13"/>
    </row>
    <row r="676" ht="15.75" customHeight="1">
      <c r="A676" s="13"/>
      <c r="B676" s="13"/>
      <c r="C676" s="13"/>
      <c r="D676" s="13"/>
      <c r="E676" s="13"/>
      <c r="F676" s="13"/>
      <c r="M676" s="13"/>
    </row>
    <row r="677" ht="15.75" customHeight="1">
      <c r="A677" s="13"/>
      <c r="B677" s="13"/>
      <c r="C677" s="13"/>
      <c r="D677" s="13"/>
      <c r="E677" s="13"/>
      <c r="F677" s="13"/>
      <c r="M677" s="13"/>
    </row>
    <row r="678" ht="15.75" customHeight="1">
      <c r="A678" s="13"/>
      <c r="B678" s="13"/>
      <c r="C678" s="13"/>
      <c r="D678" s="13"/>
      <c r="E678" s="13"/>
      <c r="F678" s="13"/>
      <c r="M678" s="13"/>
    </row>
    <row r="679" ht="15.75" customHeight="1">
      <c r="A679" s="13"/>
      <c r="B679" s="13"/>
      <c r="C679" s="13"/>
      <c r="D679" s="13"/>
      <c r="E679" s="13"/>
      <c r="F679" s="13"/>
      <c r="M679" s="13"/>
    </row>
    <row r="680" ht="15.75" customHeight="1">
      <c r="A680" s="13"/>
      <c r="B680" s="13"/>
      <c r="C680" s="13"/>
      <c r="D680" s="13"/>
      <c r="E680" s="13"/>
      <c r="F680" s="13"/>
      <c r="M680" s="13"/>
    </row>
    <row r="681" ht="15.75" customHeight="1">
      <c r="A681" s="13"/>
      <c r="B681" s="13"/>
      <c r="C681" s="13"/>
      <c r="D681" s="13"/>
      <c r="E681" s="13"/>
      <c r="F681" s="13"/>
      <c r="M681" s="13"/>
    </row>
    <row r="682" ht="15.75" customHeight="1">
      <c r="A682" s="13"/>
      <c r="B682" s="13"/>
      <c r="C682" s="13"/>
      <c r="D682" s="13"/>
      <c r="E682" s="13"/>
      <c r="F682" s="13"/>
      <c r="M682" s="13"/>
    </row>
    <row r="683" ht="15.75" customHeight="1">
      <c r="A683" s="13"/>
      <c r="B683" s="13"/>
      <c r="C683" s="13"/>
      <c r="D683" s="13"/>
      <c r="E683" s="13"/>
      <c r="F683" s="13"/>
      <c r="M683" s="13"/>
    </row>
    <row r="684" ht="15.75" customHeight="1">
      <c r="A684" s="13"/>
      <c r="B684" s="13"/>
      <c r="C684" s="13"/>
      <c r="D684" s="13"/>
      <c r="E684" s="13"/>
      <c r="F684" s="13"/>
      <c r="M684" s="13"/>
    </row>
    <row r="685" ht="15.75" customHeight="1">
      <c r="A685" s="13"/>
      <c r="B685" s="13"/>
      <c r="C685" s="13"/>
      <c r="D685" s="13"/>
      <c r="E685" s="13"/>
      <c r="F685" s="13"/>
      <c r="M685" s="13"/>
    </row>
    <row r="686" ht="15.75" customHeight="1">
      <c r="A686" s="13"/>
      <c r="B686" s="13"/>
      <c r="C686" s="13"/>
      <c r="D686" s="13"/>
      <c r="E686" s="13"/>
      <c r="F686" s="13"/>
      <c r="M686" s="13"/>
    </row>
    <row r="687" ht="15.75" customHeight="1">
      <c r="A687" s="13"/>
      <c r="B687" s="13"/>
      <c r="C687" s="13"/>
      <c r="D687" s="13"/>
      <c r="E687" s="13"/>
      <c r="F687" s="13"/>
      <c r="M687" s="13"/>
    </row>
    <row r="688" ht="15.75" customHeight="1">
      <c r="A688" s="13"/>
      <c r="B688" s="13"/>
      <c r="C688" s="13"/>
      <c r="D688" s="13"/>
      <c r="E688" s="13"/>
      <c r="F688" s="13"/>
      <c r="M688" s="13"/>
    </row>
    <row r="689" ht="15.75" customHeight="1">
      <c r="A689" s="13"/>
      <c r="B689" s="13"/>
      <c r="C689" s="13"/>
      <c r="D689" s="13"/>
      <c r="E689" s="13"/>
      <c r="F689" s="13"/>
      <c r="M689" s="13"/>
    </row>
    <row r="690" ht="15.75" customHeight="1">
      <c r="A690" s="13"/>
      <c r="B690" s="13"/>
      <c r="C690" s="13"/>
      <c r="D690" s="13"/>
      <c r="E690" s="13"/>
      <c r="F690" s="13"/>
      <c r="M690" s="13"/>
    </row>
    <row r="691" ht="15.75" customHeight="1">
      <c r="A691" s="13"/>
      <c r="B691" s="13"/>
      <c r="C691" s="13"/>
      <c r="D691" s="13"/>
      <c r="E691" s="13"/>
      <c r="F691" s="13"/>
      <c r="M691" s="13"/>
    </row>
    <row r="692" ht="15.75" customHeight="1">
      <c r="A692" s="13"/>
      <c r="B692" s="13"/>
      <c r="C692" s="13"/>
      <c r="D692" s="13"/>
      <c r="E692" s="13"/>
      <c r="F692" s="13"/>
      <c r="M692" s="13"/>
    </row>
    <row r="693" ht="15.75" customHeight="1">
      <c r="A693" s="13"/>
      <c r="B693" s="13"/>
      <c r="C693" s="13"/>
      <c r="D693" s="13"/>
      <c r="E693" s="13"/>
      <c r="F693" s="13"/>
      <c r="M693" s="13"/>
    </row>
    <row r="694" ht="15.75" customHeight="1">
      <c r="A694" s="13"/>
      <c r="B694" s="13"/>
      <c r="C694" s="13"/>
      <c r="D694" s="13"/>
      <c r="E694" s="13"/>
      <c r="F694" s="13"/>
      <c r="M694" s="13"/>
    </row>
    <row r="695" ht="15.75" customHeight="1">
      <c r="A695" s="13"/>
      <c r="B695" s="13"/>
      <c r="C695" s="13"/>
      <c r="D695" s="13"/>
      <c r="E695" s="13"/>
      <c r="F695" s="13"/>
      <c r="M695" s="13"/>
    </row>
    <row r="696" ht="15.75" customHeight="1">
      <c r="A696" s="13"/>
      <c r="B696" s="13"/>
      <c r="C696" s="13"/>
      <c r="D696" s="13"/>
      <c r="E696" s="13"/>
      <c r="F696" s="13"/>
      <c r="M696" s="13"/>
    </row>
    <row r="697" ht="15.75" customHeight="1">
      <c r="A697" s="13"/>
      <c r="B697" s="13"/>
      <c r="C697" s="13"/>
      <c r="D697" s="13"/>
      <c r="E697" s="13"/>
      <c r="F697" s="13"/>
      <c r="M697" s="13"/>
    </row>
    <row r="698" ht="15.75" customHeight="1">
      <c r="A698" s="13"/>
      <c r="B698" s="13"/>
      <c r="C698" s="13"/>
      <c r="D698" s="13"/>
      <c r="E698" s="13"/>
      <c r="F698" s="13"/>
      <c r="M698" s="13"/>
    </row>
    <row r="699" ht="15.75" customHeight="1">
      <c r="A699" s="13"/>
      <c r="B699" s="13"/>
      <c r="C699" s="13"/>
      <c r="D699" s="13"/>
      <c r="E699" s="13"/>
      <c r="F699" s="13"/>
      <c r="M699" s="13"/>
    </row>
    <row r="700" ht="15.75" customHeight="1">
      <c r="A700" s="13"/>
      <c r="B700" s="13"/>
      <c r="C700" s="13"/>
      <c r="D700" s="13"/>
      <c r="E700" s="13"/>
      <c r="F700" s="13"/>
      <c r="M700" s="13"/>
    </row>
    <row r="701" ht="15.75" customHeight="1">
      <c r="A701" s="13"/>
      <c r="B701" s="13"/>
      <c r="C701" s="13"/>
      <c r="D701" s="13"/>
      <c r="E701" s="13"/>
      <c r="F701" s="13"/>
      <c r="M701" s="13"/>
    </row>
    <row r="702" ht="15.75" customHeight="1">
      <c r="A702" s="13"/>
      <c r="B702" s="13"/>
      <c r="C702" s="13"/>
      <c r="D702" s="13"/>
      <c r="E702" s="13"/>
      <c r="F702" s="13"/>
      <c r="M702" s="13"/>
    </row>
    <row r="703" ht="15.75" customHeight="1">
      <c r="A703" s="13"/>
      <c r="B703" s="13"/>
      <c r="C703" s="13"/>
      <c r="D703" s="13"/>
      <c r="E703" s="13"/>
      <c r="F703" s="13"/>
      <c r="M703" s="13"/>
    </row>
    <row r="704" ht="15.75" customHeight="1">
      <c r="A704" s="13"/>
      <c r="B704" s="13"/>
      <c r="C704" s="13"/>
      <c r="D704" s="13"/>
      <c r="E704" s="13"/>
      <c r="F704" s="13"/>
      <c r="M704" s="13"/>
    </row>
    <row r="705" ht="15.75" customHeight="1">
      <c r="A705" s="13"/>
      <c r="B705" s="13"/>
      <c r="C705" s="13"/>
      <c r="D705" s="13"/>
      <c r="E705" s="13"/>
      <c r="F705" s="13"/>
      <c r="M705" s="13"/>
    </row>
    <row r="706" ht="15.75" customHeight="1">
      <c r="A706" s="13"/>
      <c r="B706" s="13"/>
      <c r="C706" s="13"/>
      <c r="D706" s="13"/>
      <c r="E706" s="13"/>
      <c r="F706" s="13"/>
      <c r="M706" s="13"/>
    </row>
    <row r="707" ht="15.75" customHeight="1">
      <c r="A707" s="13"/>
      <c r="B707" s="13"/>
      <c r="C707" s="13"/>
      <c r="D707" s="13"/>
      <c r="E707" s="13"/>
      <c r="F707" s="13"/>
      <c r="M707" s="13"/>
    </row>
    <row r="708" ht="15.75" customHeight="1">
      <c r="A708" s="13"/>
      <c r="B708" s="13"/>
      <c r="C708" s="13"/>
      <c r="D708" s="13"/>
      <c r="E708" s="13"/>
      <c r="F708" s="13"/>
      <c r="M708" s="13"/>
    </row>
    <row r="709" ht="15.75" customHeight="1">
      <c r="A709" s="13"/>
      <c r="B709" s="13"/>
      <c r="C709" s="13"/>
      <c r="D709" s="13"/>
      <c r="E709" s="13"/>
      <c r="F709" s="13"/>
      <c r="M709" s="13"/>
    </row>
    <row r="710" ht="15.75" customHeight="1">
      <c r="A710" s="13"/>
      <c r="B710" s="13"/>
      <c r="C710" s="13"/>
      <c r="D710" s="13"/>
      <c r="E710" s="13"/>
      <c r="F710" s="13"/>
      <c r="M710" s="13"/>
    </row>
    <row r="711" ht="15.75" customHeight="1">
      <c r="A711" s="13"/>
      <c r="B711" s="13"/>
      <c r="C711" s="13"/>
      <c r="D711" s="13"/>
      <c r="E711" s="13"/>
      <c r="F711" s="13"/>
      <c r="M711" s="13"/>
    </row>
    <row r="712" ht="15.75" customHeight="1">
      <c r="A712" s="13"/>
      <c r="B712" s="13"/>
      <c r="C712" s="13"/>
      <c r="D712" s="13"/>
      <c r="E712" s="13"/>
      <c r="F712" s="13"/>
      <c r="M712" s="13"/>
    </row>
    <row r="713" ht="15.75" customHeight="1">
      <c r="A713" s="13"/>
      <c r="B713" s="13"/>
      <c r="C713" s="13"/>
      <c r="D713" s="13"/>
      <c r="E713" s="13"/>
      <c r="F713" s="13"/>
      <c r="M713" s="13"/>
    </row>
    <row r="714" ht="15.75" customHeight="1">
      <c r="A714" s="13"/>
      <c r="B714" s="13"/>
      <c r="C714" s="13"/>
      <c r="D714" s="13"/>
      <c r="E714" s="13"/>
      <c r="F714" s="13"/>
      <c r="M714" s="13"/>
    </row>
    <row r="715" ht="15.75" customHeight="1">
      <c r="A715" s="13"/>
      <c r="B715" s="13"/>
      <c r="C715" s="13"/>
      <c r="D715" s="13"/>
      <c r="E715" s="13"/>
      <c r="F715" s="13"/>
      <c r="M715" s="13"/>
    </row>
    <row r="716" ht="15.75" customHeight="1">
      <c r="A716" s="13"/>
      <c r="B716" s="13"/>
      <c r="C716" s="13"/>
      <c r="D716" s="13"/>
      <c r="E716" s="13"/>
      <c r="F716" s="13"/>
      <c r="M716" s="13"/>
    </row>
    <row r="717" ht="15.75" customHeight="1">
      <c r="A717" s="13"/>
      <c r="B717" s="13"/>
      <c r="C717" s="13"/>
      <c r="D717" s="13"/>
      <c r="E717" s="13"/>
      <c r="F717" s="13"/>
      <c r="M717" s="13"/>
    </row>
    <row r="718" ht="15.75" customHeight="1">
      <c r="A718" s="13"/>
      <c r="B718" s="13"/>
      <c r="C718" s="13"/>
      <c r="D718" s="13"/>
      <c r="E718" s="13"/>
      <c r="F718" s="13"/>
      <c r="M718" s="13"/>
    </row>
    <row r="719" ht="15.75" customHeight="1">
      <c r="A719" s="13"/>
      <c r="B719" s="13"/>
      <c r="C719" s="13"/>
      <c r="D719" s="13"/>
      <c r="E719" s="13"/>
      <c r="F719" s="13"/>
      <c r="M719" s="13"/>
    </row>
    <row r="720" ht="15.75" customHeight="1">
      <c r="A720" s="13"/>
      <c r="B720" s="13"/>
      <c r="C720" s="13"/>
      <c r="D720" s="13"/>
      <c r="E720" s="13"/>
      <c r="F720" s="13"/>
      <c r="M720" s="13"/>
    </row>
    <row r="721" ht="15.75" customHeight="1">
      <c r="A721" s="13"/>
      <c r="B721" s="13"/>
      <c r="C721" s="13"/>
      <c r="D721" s="13"/>
      <c r="E721" s="13"/>
      <c r="F721" s="13"/>
      <c r="M721" s="13"/>
    </row>
    <row r="722" ht="15.75" customHeight="1">
      <c r="A722" s="13"/>
      <c r="B722" s="13"/>
      <c r="C722" s="13"/>
      <c r="D722" s="13"/>
      <c r="E722" s="13"/>
      <c r="F722" s="13"/>
      <c r="M722" s="13"/>
    </row>
    <row r="723" ht="15.75" customHeight="1">
      <c r="A723" s="13"/>
      <c r="B723" s="13"/>
      <c r="C723" s="13"/>
      <c r="D723" s="13"/>
      <c r="E723" s="13"/>
      <c r="F723" s="13"/>
      <c r="M723" s="13"/>
    </row>
    <row r="724" ht="15.75" customHeight="1">
      <c r="A724" s="13"/>
      <c r="B724" s="13"/>
      <c r="C724" s="13"/>
      <c r="D724" s="13"/>
      <c r="E724" s="13"/>
      <c r="F724" s="13"/>
      <c r="M724" s="13"/>
    </row>
    <row r="725" ht="15.75" customHeight="1">
      <c r="A725" s="13"/>
      <c r="B725" s="13"/>
      <c r="C725" s="13"/>
      <c r="D725" s="13"/>
      <c r="E725" s="13"/>
      <c r="F725" s="13"/>
      <c r="M725" s="13"/>
    </row>
    <row r="726" ht="15.75" customHeight="1">
      <c r="A726" s="13"/>
      <c r="B726" s="13"/>
      <c r="C726" s="13"/>
      <c r="D726" s="13"/>
      <c r="E726" s="13"/>
      <c r="F726" s="13"/>
      <c r="M726" s="13"/>
    </row>
    <row r="727" ht="15.75" customHeight="1">
      <c r="A727" s="13"/>
      <c r="B727" s="13"/>
      <c r="C727" s="13"/>
      <c r="D727" s="13"/>
      <c r="E727" s="13"/>
      <c r="F727" s="13"/>
      <c r="M727" s="13"/>
    </row>
    <row r="728" ht="15.75" customHeight="1">
      <c r="A728" s="13"/>
      <c r="B728" s="13"/>
      <c r="C728" s="13"/>
      <c r="D728" s="13"/>
      <c r="E728" s="13"/>
      <c r="F728" s="13"/>
      <c r="M728" s="13"/>
    </row>
    <row r="729" ht="15.75" customHeight="1">
      <c r="A729" s="13"/>
      <c r="B729" s="13"/>
      <c r="C729" s="13"/>
      <c r="D729" s="13"/>
      <c r="E729" s="13"/>
      <c r="F729" s="13"/>
      <c r="M729" s="13"/>
    </row>
    <row r="730" ht="15.75" customHeight="1">
      <c r="A730" s="13"/>
      <c r="B730" s="13"/>
      <c r="C730" s="13"/>
      <c r="D730" s="13"/>
      <c r="E730" s="13"/>
      <c r="F730" s="13"/>
      <c r="M730" s="13"/>
    </row>
    <row r="731" ht="15.75" customHeight="1">
      <c r="A731" s="13"/>
      <c r="B731" s="13"/>
      <c r="C731" s="13"/>
      <c r="D731" s="13"/>
      <c r="E731" s="13"/>
      <c r="F731" s="13"/>
      <c r="M731" s="13"/>
    </row>
    <row r="732" ht="15.75" customHeight="1">
      <c r="A732" s="13"/>
      <c r="B732" s="13"/>
      <c r="C732" s="13"/>
      <c r="D732" s="13"/>
      <c r="E732" s="13"/>
      <c r="F732" s="13"/>
      <c r="M732" s="13"/>
    </row>
    <row r="733" ht="15.75" customHeight="1">
      <c r="A733" s="13"/>
      <c r="B733" s="13"/>
      <c r="C733" s="13"/>
      <c r="D733" s="13"/>
      <c r="E733" s="13"/>
      <c r="F733" s="13"/>
      <c r="M733" s="13"/>
    </row>
    <row r="734" ht="15.75" customHeight="1">
      <c r="A734" s="13"/>
      <c r="B734" s="13"/>
      <c r="C734" s="13"/>
      <c r="D734" s="13"/>
      <c r="E734" s="13"/>
      <c r="F734" s="13"/>
      <c r="M734" s="13"/>
    </row>
    <row r="735" ht="15.75" customHeight="1">
      <c r="A735" s="13"/>
      <c r="B735" s="13"/>
      <c r="C735" s="13"/>
      <c r="D735" s="13"/>
      <c r="E735" s="13"/>
      <c r="F735" s="13"/>
      <c r="M735" s="13"/>
    </row>
    <row r="736" ht="15.75" customHeight="1">
      <c r="A736" s="13"/>
      <c r="B736" s="13"/>
      <c r="C736" s="13"/>
      <c r="D736" s="13"/>
      <c r="E736" s="13"/>
      <c r="F736" s="13"/>
      <c r="M736" s="13"/>
    </row>
    <row r="737" ht="15.75" customHeight="1">
      <c r="A737" s="13"/>
      <c r="B737" s="13"/>
      <c r="C737" s="13"/>
      <c r="D737" s="13"/>
      <c r="E737" s="13"/>
      <c r="F737" s="13"/>
      <c r="M737" s="13"/>
    </row>
    <row r="738" ht="15.75" customHeight="1">
      <c r="A738" s="13"/>
      <c r="B738" s="13"/>
      <c r="C738" s="13"/>
      <c r="D738" s="13"/>
      <c r="E738" s="13"/>
      <c r="F738" s="13"/>
      <c r="M738" s="13"/>
    </row>
    <row r="739" ht="15.75" customHeight="1">
      <c r="A739" s="13"/>
      <c r="B739" s="13"/>
      <c r="C739" s="13"/>
      <c r="D739" s="13"/>
      <c r="E739" s="13"/>
      <c r="F739" s="13"/>
      <c r="M739" s="13"/>
    </row>
    <row r="740" ht="15.75" customHeight="1">
      <c r="A740" s="13"/>
      <c r="B740" s="13"/>
      <c r="C740" s="13"/>
      <c r="D740" s="13"/>
      <c r="E740" s="13"/>
      <c r="F740" s="13"/>
      <c r="M740" s="13"/>
    </row>
    <row r="741" ht="15.75" customHeight="1">
      <c r="A741" s="13"/>
      <c r="B741" s="13"/>
      <c r="C741" s="13"/>
      <c r="D741" s="13"/>
      <c r="E741" s="13"/>
      <c r="F741" s="13"/>
      <c r="M741" s="13"/>
    </row>
    <row r="742" ht="15.75" customHeight="1">
      <c r="A742" s="13"/>
      <c r="B742" s="13"/>
      <c r="C742" s="13"/>
      <c r="D742" s="13"/>
      <c r="E742" s="13"/>
      <c r="F742" s="13"/>
      <c r="M742" s="13"/>
    </row>
    <row r="743" ht="15.75" customHeight="1">
      <c r="A743" s="13"/>
      <c r="B743" s="13"/>
      <c r="C743" s="13"/>
      <c r="D743" s="13"/>
      <c r="E743" s="13"/>
      <c r="F743" s="13"/>
      <c r="M743" s="13"/>
    </row>
    <row r="744" ht="15.75" customHeight="1">
      <c r="A744" s="13"/>
      <c r="B744" s="13"/>
      <c r="C744" s="13"/>
      <c r="D744" s="13"/>
      <c r="E744" s="13"/>
      <c r="F744" s="13"/>
      <c r="M744" s="13"/>
    </row>
    <row r="745" ht="15.75" customHeight="1">
      <c r="A745" s="13"/>
      <c r="B745" s="13"/>
      <c r="C745" s="13"/>
      <c r="D745" s="13"/>
      <c r="E745" s="13"/>
      <c r="F745" s="13"/>
      <c r="M745" s="13"/>
    </row>
    <row r="746" ht="15.75" customHeight="1">
      <c r="A746" s="13"/>
      <c r="B746" s="13"/>
      <c r="C746" s="13"/>
      <c r="D746" s="13"/>
      <c r="E746" s="13"/>
      <c r="F746" s="13"/>
      <c r="M746" s="13"/>
    </row>
    <row r="747" ht="15.75" customHeight="1">
      <c r="A747" s="13"/>
      <c r="B747" s="13"/>
      <c r="C747" s="13"/>
      <c r="D747" s="13"/>
      <c r="E747" s="13"/>
      <c r="F747" s="13"/>
      <c r="M747" s="13"/>
    </row>
    <row r="748" ht="15.75" customHeight="1">
      <c r="A748" s="13"/>
      <c r="B748" s="13"/>
      <c r="C748" s="13"/>
      <c r="D748" s="13"/>
      <c r="E748" s="13"/>
      <c r="F748" s="13"/>
      <c r="M748" s="13"/>
    </row>
    <row r="749" ht="15.75" customHeight="1">
      <c r="A749" s="13"/>
      <c r="B749" s="13"/>
      <c r="C749" s="13"/>
      <c r="D749" s="13"/>
      <c r="E749" s="13"/>
      <c r="F749" s="13"/>
      <c r="M749" s="13"/>
    </row>
    <row r="750" ht="15.75" customHeight="1">
      <c r="A750" s="13"/>
      <c r="B750" s="13"/>
      <c r="C750" s="13"/>
      <c r="D750" s="13"/>
      <c r="E750" s="13"/>
      <c r="F750" s="13"/>
      <c r="M750" s="13"/>
    </row>
    <row r="751" ht="15.75" customHeight="1">
      <c r="A751" s="13"/>
      <c r="B751" s="13"/>
      <c r="C751" s="13"/>
      <c r="D751" s="13"/>
      <c r="E751" s="13"/>
      <c r="F751" s="13"/>
      <c r="M751" s="13"/>
    </row>
    <row r="752" ht="15.75" customHeight="1">
      <c r="A752" s="13"/>
      <c r="B752" s="13"/>
      <c r="C752" s="13"/>
      <c r="D752" s="13"/>
      <c r="E752" s="13"/>
      <c r="F752" s="13"/>
      <c r="M752" s="13"/>
    </row>
    <row r="753" ht="15.75" customHeight="1">
      <c r="A753" s="13"/>
      <c r="B753" s="13"/>
      <c r="C753" s="13"/>
      <c r="D753" s="13"/>
      <c r="E753" s="13"/>
      <c r="F753" s="13"/>
      <c r="M753" s="13"/>
    </row>
    <row r="754" ht="15.75" customHeight="1">
      <c r="A754" s="13"/>
      <c r="B754" s="13"/>
      <c r="C754" s="13"/>
      <c r="D754" s="13"/>
      <c r="E754" s="13"/>
      <c r="F754" s="13"/>
      <c r="M754" s="13"/>
    </row>
    <row r="755" ht="15.75" customHeight="1">
      <c r="A755" s="13"/>
      <c r="B755" s="13"/>
      <c r="C755" s="13"/>
      <c r="D755" s="13"/>
      <c r="E755" s="13"/>
      <c r="F755" s="13"/>
      <c r="M755" s="13"/>
    </row>
    <row r="756" ht="15.75" customHeight="1">
      <c r="A756" s="13"/>
      <c r="B756" s="13"/>
      <c r="C756" s="13"/>
      <c r="D756" s="13"/>
      <c r="E756" s="13"/>
      <c r="F756" s="13"/>
      <c r="M756" s="13"/>
    </row>
    <row r="757" ht="15.75" customHeight="1">
      <c r="A757" s="13"/>
      <c r="B757" s="13"/>
      <c r="C757" s="13"/>
      <c r="D757" s="13"/>
      <c r="E757" s="13"/>
      <c r="F757" s="13"/>
      <c r="M757" s="13"/>
    </row>
    <row r="758" ht="15.75" customHeight="1">
      <c r="A758" s="13"/>
      <c r="B758" s="13"/>
      <c r="C758" s="13"/>
      <c r="D758" s="13"/>
      <c r="E758" s="13"/>
      <c r="F758" s="13"/>
      <c r="M758" s="13"/>
    </row>
    <row r="759" ht="15.75" customHeight="1">
      <c r="A759" s="13"/>
      <c r="B759" s="13"/>
      <c r="C759" s="13"/>
      <c r="D759" s="13"/>
      <c r="E759" s="13"/>
      <c r="F759" s="13"/>
      <c r="M759" s="13"/>
    </row>
    <row r="760" ht="15.75" customHeight="1">
      <c r="A760" s="13"/>
      <c r="B760" s="13"/>
      <c r="C760" s="13"/>
      <c r="D760" s="13"/>
      <c r="E760" s="13"/>
      <c r="F760" s="13"/>
      <c r="M760" s="13"/>
    </row>
    <row r="761" ht="15.75" customHeight="1">
      <c r="A761" s="13"/>
      <c r="B761" s="13"/>
      <c r="C761" s="13"/>
      <c r="D761" s="13"/>
      <c r="E761" s="13"/>
      <c r="F761" s="13"/>
      <c r="M761" s="13"/>
    </row>
    <row r="762" ht="15.75" customHeight="1">
      <c r="A762" s="13"/>
      <c r="B762" s="13"/>
      <c r="C762" s="13"/>
      <c r="D762" s="13"/>
      <c r="E762" s="13"/>
      <c r="F762" s="13"/>
      <c r="M762" s="13"/>
    </row>
    <row r="763" ht="15.75" customHeight="1">
      <c r="A763" s="13"/>
      <c r="B763" s="13"/>
      <c r="C763" s="13"/>
      <c r="D763" s="13"/>
      <c r="E763" s="13"/>
      <c r="F763" s="13"/>
      <c r="M763" s="13"/>
    </row>
    <row r="764" ht="15.75" customHeight="1">
      <c r="A764" s="13"/>
      <c r="B764" s="13"/>
      <c r="C764" s="13"/>
      <c r="D764" s="13"/>
      <c r="E764" s="13"/>
      <c r="F764" s="13"/>
      <c r="M764" s="13"/>
    </row>
    <row r="765" ht="15.75" customHeight="1">
      <c r="A765" s="13"/>
      <c r="B765" s="13"/>
      <c r="C765" s="13"/>
      <c r="D765" s="13"/>
      <c r="E765" s="13"/>
      <c r="F765" s="13"/>
      <c r="M765" s="13"/>
    </row>
    <row r="766" ht="15.75" customHeight="1">
      <c r="A766" s="13"/>
      <c r="B766" s="13"/>
      <c r="C766" s="13"/>
      <c r="D766" s="13"/>
      <c r="E766" s="13"/>
      <c r="F766" s="13"/>
      <c r="M766" s="13"/>
    </row>
    <row r="767" ht="15.75" customHeight="1">
      <c r="A767" s="13"/>
      <c r="B767" s="13"/>
      <c r="C767" s="13"/>
      <c r="D767" s="13"/>
      <c r="E767" s="13"/>
      <c r="F767" s="13"/>
      <c r="M767" s="13"/>
    </row>
    <row r="768" ht="15.75" customHeight="1">
      <c r="A768" s="13"/>
      <c r="B768" s="13"/>
      <c r="C768" s="13"/>
      <c r="D768" s="13"/>
      <c r="E768" s="13"/>
      <c r="F768" s="13"/>
      <c r="M768" s="13"/>
    </row>
    <row r="769" ht="15.75" customHeight="1">
      <c r="A769" s="13"/>
      <c r="B769" s="13"/>
      <c r="C769" s="13"/>
      <c r="D769" s="13"/>
      <c r="E769" s="13"/>
      <c r="F769" s="13"/>
      <c r="M769" s="13"/>
    </row>
    <row r="770" ht="15.75" customHeight="1">
      <c r="A770" s="13"/>
      <c r="B770" s="13"/>
      <c r="C770" s="13"/>
      <c r="D770" s="13"/>
      <c r="E770" s="13"/>
      <c r="F770" s="13"/>
      <c r="M770" s="13"/>
    </row>
    <row r="771" ht="15.75" customHeight="1">
      <c r="A771" s="13"/>
      <c r="B771" s="13"/>
      <c r="C771" s="13"/>
      <c r="D771" s="13"/>
      <c r="E771" s="13"/>
      <c r="F771" s="13"/>
      <c r="M771" s="13"/>
    </row>
    <row r="772" ht="15.75" customHeight="1">
      <c r="A772" s="13"/>
      <c r="B772" s="13"/>
      <c r="C772" s="13"/>
      <c r="D772" s="13"/>
      <c r="E772" s="13"/>
      <c r="F772" s="13"/>
      <c r="M772" s="13"/>
    </row>
    <row r="773" ht="15.75" customHeight="1">
      <c r="A773" s="13"/>
      <c r="B773" s="13"/>
      <c r="C773" s="13"/>
      <c r="D773" s="13"/>
      <c r="E773" s="13"/>
      <c r="F773" s="13"/>
      <c r="M773" s="13"/>
    </row>
    <row r="774" ht="15.75" customHeight="1">
      <c r="A774" s="13"/>
      <c r="B774" s="13"/>
      <c r="C774" s="13"/>
      <c r="D774" s="13"/>
      <c r="E774" s="13"/>
      <c r="F774" s="13"/>
      <c r="M774" s="13"/>
    </row>
    <row r="775" ht="15.75" customHeight="1">
      <c r="A775" s="13"/>
      <c r="B775" s="13"/>
      <c r="C775" s="13"/>
      <c r="D775" s="13"/>
      <c r="E775" s="13"/>
      <c r="F775" s="13"/>
      <c r="M775" s="13"/>
    </row>
    <row r="776" ht="15.75" customHeight="1">
      <c r="A776" s="13"/>
      <c r="B776" s="13"/>
      <c r="C776" s="13"/>
      <c r="D776" s="13"/>
      <c r="E776" s="13"/>
      <c r="F776" s="13"/>
      <c r="M776" s="13"/>
    </row>
    <row r="777" ht="15.75" customHeight="1">
      <c r="A777" s="13"/>
      <c r="B777" s="13"/>
      <c r="C777" s="13"/>
      <c r="D777" s="13"/>
      <c r="E777" s="13"/>
      <c r="F777" s="13"/>
      <c r="M777" s="13"/>
    </row>
    <row r="778" ht="15.75" customHeight="1">
      <c r="A778" s="13"/>
      <c r="B778" s="13"/>
      <c r="C778" s="13"/>
      <c r="D778" s="13"/>
      <c r="E778" s="13"/>
      <c r="F778" s="13"/>
      <c r="M778" s="13"/>
    </row>
    <row r="779" ht="15.75" customHeight="1">
      <c r="A779" s="13"/>
      <c r="B779" s="13"/>
      <c r="C779" s="13"/>
      <c r="D779" s="13"/>
      <c r="E779" s="13"/>
      <c r="F779" s="13"/>
      <c r="M779" s="13"/>
    </row>
    <row r="780" ht="15.75" customHeight="1">
      <c r="A780" s="13"/>
      <c r="B780" s="13"/>
      <c r="C780" s="13"/>
      <c r="D780" s="13"/>
      <c r="E780" s="13"/>
      <c r="F780" s="13"/>
      <c r="M780" s="13"/>
    </row>
    <row r="781" ht="15.75" customHeight="1">
      <c r="A781" s="13"/>
      <c r="B781" s="13"/>
      <c r="C781" s="13"/>
      <c r="D781" s="13"/>
      <c r="E781" s="13"/>
      <c r="F781" s="13"/>
      <c r="M781" s="13"/>
    </row>
    <row r="782" ht="15.75" customHeight="1">
      <c r="A782" s="13"/>
      <c r="B782" s="13"/>
      <c r="C782" s="13"/>
      <c r="D782" s="13"/>
      <c r="E782" s="13"/>
      <c r="F782" s="13"/>
      <c r="M782" s="13"/>
    </row>
    <row r="783" ht="15.75" customHeight="1">
      <c r="A783" s="13"/>
      <c r="B783" s="13"/>
      <c r="C783" s="13"/>
      <c r="D783" s="13"/>
      <c r="E783" s="13"/>
      <c r="F783" s="13"/>
      <c r="M783" s="13"/>
    </row>
    <row r="784" ht="15.75" customHeight="1">
      <c r="A784" s="13"/>
      <c r="B784" s="13"/>
      <c r="C784" s="13"/>
      <c r="D784" s="13"/>
      <c r="E784" s="13"/>
      <c r="F784" s="13"/>
      <c r="M784" s="13"/>
    </row>
    <row r="785" ht="15.75" customHeight="1">
      <c r="A785" s="13"/>
      <c r="B785" s="13"/>
      <c r="C785" s="13"/>
      <c r="D785" s="13"/>
      <c r="E785" s="13"/>
      <c r="F785" s="13"/>
      <c r="M785" s="13"/>
    </row>
    <row r="786" ht="15.75" customHeight="1">
      <c r="A786" s="13"/>
      <c r="B786" s="13"/>
      <c r="C786" s="13"/>
      <c r="D786" s="13"/>
      <c r="E786" s="13"/>
      <c r="F786" s="13"/>
      <c r="M786" s="13"/>
    </row>
    <row r="787" ht="15.75" customHeight="1">
      <c r="A787" s="13"/>
      <c r="B787" s="13"/>
      <c r="C787" s="13"/>
      <c r="D787" s="13"/>
      <c r="E787" s="13"/>
      <c r="F787" s="13"/>
      <c r="M787" s="13"/>
    </row>
    <row r="788" ht="15.75" customHeight="1">
      <c r="A788" s="13"/>
      <c r="B788" s="13"/>
      <c r="C788" s="13"/>
      <c r="D788" s="13"/>
      <c r="E788" s="13"/>
      <c r="F788" s="13"/>
      <c r="M788" s="13"/>
    </row>
    <row r="789" ht="15.75" customHeight="1">
      <c r="A789" s="13"/>
      <c r="B789" s="13"/>
      <c r="C789" s="13"/>
      <c r="D789" s="13"/>
      <c r="E789" s="13"/>
      <c r="F789" s="13"/>
      <c r="M789" s="13"/>
    </row>
    <row r="790" ht="15.75" customHeight="1">
      <c r="A790" s="13"/>
      <c r="B790" s="13"/>
      <c r="C790" s="13"/>
      <c r="D790" s="13"/>
      <c r="E790" s="13"/>
      <c r="F790" s="13"/>
      <c r="M790" s="13"/>
    </row>
    <row r="791" ht="15.75" customHeight="1">
      <c r="A791" s="13"/>
      <c r="B791" s="13"/>
      <c r="C791" s="13"/>
      <c r="D791" s="13"/>
      <c r="E791" s="13"/>
      <c r="F791" s="13"/>
      <c r="M791" s="13"/>
    </row>
    <row r="792" ht="15.75" customHeight="1">
      <c r="A792" s="13"/>
      <c r="B792" s="13"/>
      <c r="C792" s="13"/>
      <c r="D792" s="13"/>
      <c r="E792" s="13"/>
      <c r="F792" s="13"/>
      <c r="M792" s="13"/>
    </row>
    <row r="793" ht="15.75" customHeight="1">
      <c r="A793" s="13"/>
      <c r="B793" s="13"/>
      <c r="C793" s="13"/>
      <c r="D793" s="13"/>
      <c r="E793" s="13"/>
      <c r="F793" s="13"/>
      <c r="M793" s="13"/>
    </row>
    <row r="794" ht="15.75" customHeight="1">
      <c r="A794" s="13"/>
      <c r="B794" s="13"/>
      <c r="C794" s="13"/>
      <c r="D794" s="13"/>
      <c r="E794" s="13"/>
      <c r="F794" s="13"/>
      <c r="M794" s="13"/>
    </row>
    <row r="795" ht="15.75" customHeight="1">
      <c r="A795" s="13"/>
      <c r="B795" s="13"/>
      <c r="C795" s="13"/>
      <c r="D795" s="13"/>
      <c r="E795" s="13"/>
      <c r="F795" s="13"/>
      <c r="M795" s="13"/>
    </row>
    <row r="796" ht="15.75" customHeight="1">
      <c r="A796" s="13"/>
      <c r="B796" s="13"/>
      <c r="C796" s="13"/>
      <c r="D796" s="13"/>
      <c r="E796" s="13"/>
      <c r="F796" s="13"/>
      <c r="M796" s="13"/>
    </row>
    <row r="797" ht="15.75" customHeight="1">
      <c r="A797" s="13"/>
      <c r="B797" s="13"/>
      <c r="C797" s="13"/>
      <c r="D797" s="13"/>
      <c r="E797" s="13"/>
      <c r="F797" s="13"/>
      <c r="M797" s="13"/>
    </row>
    <row r="798" ht="15.75" customHeight="1">
      <c r="A798" s="13"/>
      <c r="B798" s="13"/>
      <c r="C798" s="13"/>
      <c r="D798" s="13"/>
      <c r="E798" s="13"/>
      <c r="F798" s="13"/>
      <c r="M798" s="13"/>
    </row>
    <row r="799" ht="15.75" customHeight="1">
      <c r="A799" s="13"/>
      <c r="B799" s="13"/>
      <c r="C799" s="13"/>
      <c r="D799" s="13"/>
      <c r="E799" s="13"/>
      <c r="F799" s="13"/>
      <c r="M799" s="13"/>
    </row>
    <row r="800" ht="15.75" customHeight="1">
      <c r="A800" s="13"/>
      <c r="B800" s="13"/>
      <c r="C800" s="13"/>
      <c r="D800" s="13"/>
      <c r="E800" s="13"/>
      <c r="F800" s="13"/>
      <c r="M800" s="13"/>
    </row>
    <row r="801" ht="15.75" customHeight="1">
      <c r="A801" s="13"/>
      <c r="B801" s="13"/>
      <c r="C801" s="13"/>
      <c r="D801" s="13"/>
      <c r="E801" s="13"/>
      <c r="F801" s="13"/>
      <c r="M801" s="13"/>
    </row>
    <row r="802" ht="15.75" customHeight="1">
      <c r="A802" s="13"/>
      <c r="B802" s="13"/>
      <c r="C802" s="13"/>
      <c r="D802" s="13"/>
      <c r="E802" s="13"/>
      <c r="F802" s="13"/>
      <c r="M802" s="13"/>
    </row>
    <row r="803" ht="15.75" customHeight="1">
      <c r="A803" s="13"/>
      <c r="B803" s="13"/>
      <c r="C803" s="13"/>
      <c r="D803" s="13"/>
      <c r="E803" s="13"/>
      <c r="F803" s="13"/>
      <c r="M803" s="13"/>
    </row>
    <row r="804" ht="15.75" customHeight="1">
      <c r="A804" s="13"/>
      <c r="B804" s="13"/>
      <c r="C804" s="13"/>
      <c r="D804" s="13"/>
      <c r="E804" s="13"/>
      <c r="F804" s="13"/>
      <c r="M804" s="13"/>
    </row>
    <row r="805" ht="15.75" customHeight="1">
      <c r="A805" s="13"/>
      <c r="B805" s="13"/>
      <c r="C805" s="13"/>
      <c r="D805" s="13"/>
      <c r="E805" s="13"/>
      <c r="F805" s="13"/>
      <c r="M805" s="13"/>
    </row>
    <row r="806" ht="15.75" customHeight="1">
      <c r="A806" s="13"/>
      <c r="B806" s="13"/>
      <c r="C806" s="13"/>
      <c r="D806" s="13"/>
      <c r="E806" s="13"/>
      <c r="F806" s="13"/>
      <c r="M806" s="13"/>
    </row>
    <row r="807" ht="15.75" customHeight="1">
      <c r="A807" s="13"/>
      <c r="B807" s="13"/>
      <c r="C807" s="13"/>
      <c r="D807" s="13"/>
      <c r="E807" s="13"/>
      <c r="F807" s="13"/>
      <c r="M807" s="13"/>
    </row>
    <row r="808" ht="15.75" customHeight="1">
      <c r="A808" s="13"/>
      <c r="B808" s="13"/>
      <c r="C808" s="13"/>
      <c r="D808" s="13"/>
      <c r="E808" s="13"/>
      <c r="F808" s="13"/>
      <c r="M808" s="13"/>
    </row>
    <row r="809" ht="15.75" customHeight="1">
      <c r="A809" s="13"/>
      <c r="B809" s="13"/>
      <c r="C809" s="13"/>
      <c r="D809" s="13"/>
      <c r="E809" s="13"/>
      <c r="F809" s="13"/>
      <c r="M809" s="13"/>
    </row>
    <row r="810" ht="15.75" customHeight="1">
      <c r="A810" s="13"/>
      <c r="B810" s="13"/>
      <c r="C810" s="13"/>
      <c r="D810" s="13"/>
      <c r="E810" s="13"/>
      <c r="F810" s="13"/>
      <c r="M810" s="13"/>
    </row>
    <row r="811" ht="15.75" customHeight="1">
      <c r="A811" s="13"/>
      <c r="B811" s="13"/>
      <c r="C811" s="13"/>
      <c r="D811" s="13"/>
      <c r="E811" s="13"/>
      <c r="F811" s="13"/>
      <c r="M811" s="13"/>
    </row>
    <row r="812" ht="15.75" customHeight="1">
      <c r="A812" s="13"/>
      <c r="B812" s="13"/>
      <c r="C812" s="13"/>
      <c r="D812" s="13"/>
      <c r="E812" s="13"/>
      <c r="F812" s="13"/>
      <c r="M812" s="13"/>
    </row>
    <row r="813" ht="15.75" customHeight="1">
      <c r="A813" s="13"/>
      <c r="B813" s="13"/>
      <c r="C813" s="13"/>
      <c r="D813" s="13"/>
      <c r="E813" s="13"/>
      <c r="F813" s="13"/>
      <c r="M813" s="13"/>
    </row>
    <row r="814" ht="15.75" customHeight="1">
      <c r="A814" s="13"/>
      <c r="B814" s="13"/>
      <c r="C814" s="13"/>
      <c r="D814" s="13"/>
      <c r="E814" s="13"/>
      <c r="F814" s="13"/>
      <c r="M814" s="13"/>
    </row>
    <row r="815" ht="15.75" customHeight="1">
      <c r="A815" s="13"/>
      <c r="B815" s="13"/>
      <c r="C815" s="13"/>
      <c r="D815" s="13"/>
      <c r="E815" s="13"/>
      <c r="F815" s="13"/>
      <c r="M815" s="13"/>
    </row>
    <row r="816" ht="15.75" customHeight="1">
      <c r="A816" s="13"/>
      <c r="B816" s="13"/>
      <c r="C816" s="13"/>
      <c r="D816" s="13"/>
      <c r="E816" s="13"/>
      <c r="F816" s="13"/>
      <c r="M816" s="13"/>
    </row>
    <row r="817" ht="15.75" customHeight="1">
      <c r="A817" s="13"/>
      <c r="B817" s="13"/>
      <c r="C817" s="13"/>
      <c r="D817" s="13"/>
      <c r="E817" s="13"/>
      <c r="F817" s="13"/>
      <c r="M817" s="13"/>
    </row>
    <row r="818" ht="15.75" customHeight="1">
      <c r="A818" s="13"/>
      <c r="B818" s="13"/>
      <c r="C818" s="13"/>
      <c r="D818" s="13"/>
      <c r="E818" s="13"/>
      <c r="F818" s="13"/>
      <c r="M818" s="13"/>
    </row>
    <row r="819" ht="15.75" customHeight="1">
      <c r="A819" s="13"/>
      <c r="B819" s="13"/>
      <c r="C819" s="13"/>
      <c r="D819" s="13"/>
      <c r="E819" s="13"/>
      <c r="F819" s="13"/>
      <c r="M819" s="13"/>
    </row>
    <row r="820" ht="15.75" customHeight="1">
      <c r="A820" s="13"/>
      <c r="B820" s="13"/>
      <c r="C820" s="13"/>
      <c r="D820" s="13"/>
      <c r="E820" s="13"/>
      <c r="F820" s="13"/>
      <c r="M820" s="13"/>
    </row>
    <row r="821" ht="15.75" customHeight="1">
      <c r="A821" s="13"/>
      <c r="B821" s="13"/>
      <c r="C821" s="13"/>
      <c r="D821" s="13"/>
      <c r="E821" s="13"/>
      <c r="F821" s="13"/>
      <c r="M821" s="13"/>
    </row>
    <row r="822" ht="15.75" customHeight="1">
      <c r="A822" s="13"/>
      <c r="B822" s="13"/>
      <c r="C822" s="13"/>
      <c r="D822" s="13"/>
      <c r="E822" s="13"/>
      <c r="F822" s="13"/>
      <c r="M822" s="13"/>
    </row>
    <row r="823" ht="15.75" customHeight="1">
      <c r="A823" s="13"/>
      <c r="B823" s="13"/>
      <c r="C823" s="13"/>
      <c r="D823" s="13"/>
      <c r="E823" s="13"/>
      <c r="F823" s="13"/>
      <c r="M823" s="13"/>
    </row>
    <row r="824" ht="15.75" customHeight="1">
      <c r="A824" s="13"/>
      <c r="B824" s="13"/>
      <c r="C824" s="13"/>
      <c r="D824" s="13"/>
      <c r="E824" s="13"/>
      <c r="F824" s="13"/>
      <c r="M824" s="13"/>
    </row>
    <row r="825" ht="15.75" customHeight="1">
      <c r="A825" s="13"/>
      <c r="B825" s="13"/>
      <c r="C825" s="13"/>
      <c r="D825" s="13"/>
      <c r="E825" s="13"/>
      <c r="F825" s="13"/>
      <c r="M825" s="13"/>
    </row>
    <row r="826" ht="15.75" customHeight="1">
      <c r="A826" s="13"/>
      <c r="B826" s="13"/>
      <c r="C826" s="13"/>
      <c r="D826" s="13"/>
      <c r="E826" s="13"/>
      <c r="F826" s="13"/>
      <c r="M826" s="13"/>
    </row>
    <row r="827" ht="15.75" customHeight="1">
      <c r="A827" s="13"/>
      <c r="B827" s="13"/>
      <c r="C827" s="13"/>
      <c r="D827" s="13"/>
      <c r="E827" s="13"/>
      <c r="F827" s="13"/>
      <c r="M827" s="13"/>
    </row>
    <row r="828" ht="15.75" customHeight="1">
      <c r="A828" s="13"/>
      <c r="B828" s="13"/>
      <c r="C828" s="13"/>
      <c r="D828" s="13"/>
      <c r="E828" s="13"/>
      <c r="F828" s="13"/>
      <c r="M828" s="13"/>
    </row>
    <row r="829" ht="15.75" customHeight="1">
      <c r="A829" s="13"/>
      <c r="B829" s="13"/>
      <c r="C829" s="13"/>
      <c r="D829" s="13"/>
      <c r="E829" s="13"/>
      <c r="F829" s="13"/>
      <c r="M829" s="13"/>
    </row>
    <row r="830" ht="15.75" customHeight="1">
      <c r="A830" s="13"/>
      <c r="B830" s="13"/>
      <c r="C830" s="13"/>
      <c r="D830" s="13"/>
      <c r="E830" s="13"/>
      <c r="F830" s="13"/>
      <c r="M830" s="13"/>
    </row>
    <row r="831" ht="15.75" customHeight="1">
      <c r="A831" s="13"/>
      <c r="B831" s="13"/>
      <c r="C831" s="13"/>
      <c r="D831" s="13"/>
      <c r="E831" s="13"/>
      <c r="F831" s="13"/>
      <c r="M831" s="13"/>
    </row>
    <row r="832" ht="15.75" customHeight="1">
      <c r="A832" s="13"/>
      <c r="B832" s="13"/>
      <c r="C832" s="13"/>
      <c r="D832" s="13"/>
      <c r="E832" s="13"/>
      <c r="F832" s="13"/>
      <c r="M832" s="13"/>
    </row>
    <row r="833" ht="15.75" customHeight="1">
      <c r="A833" s="13"/>
      <c r="B833" s="13"/>
      <c r="C833" s="13"/>
      <c r="D833" s="13"/>
      <c r="E833" s="13"/>
      <c r="F833" s="13"/>
      <c r="M833" s="13"/>
    </row>
    <row r="834" ht="15.75" customHeight="1">
      <c r="A834" s="13"/>
      <c r="B834" s="13"/>
      <c r="C834" s="13"/>
      <c r="D834" s="13"/>
      <c r="E834" s="13"/>
      <c r="F834" s="13"/>
      <c r="M834" s="13"/>
    </row>
    <row r="835" ht="15.75" customHeight="1">
      <c r="A835" s="13"/>
      <c r="B835" s="13"/>
      <c r="C835" s="13"/>
      <c r="D835" s="13"/>
      <c r="E835" s="13"/>
      <c r="F835" s="13"/>
      <c r="M835" s="13"/>
    </row>
    <row r="836" ht="15.75" customHeight="1">
      <c r="A836" s="13"/>
      <c r="B836" s="13"/>
      <c r="C836" s="13"/>
      <c r="D836" s="13"/>
      <c r="E836" s="13"/>
      <c r="F836" s="13"/>
      <c r="M836" s="13"/>
    </row>
    <row r="837" ht="15.75" customHeight="1">
      <c r="A837" s="13"/>
      <c r="B837" s="13"/>
      <c r="C837" s="13"/>
      <c r="D837" s="13"/>
      <c r="E837" s="13"/>
      <c r="F837" s="13"/>
      <c r="M837" s="13"/>
    </row>
    <row r="838" ht="15.75" customHeight="1">
      <c r="A838" s="13"/>
      <c r="B838" s="13"/>
      <c r="C838" s="13"/>
      <c r="D838" s="13"/>
      <c r="E838" s="13"/>
      <c r="F838" s="13"/>
      <c r="M838" s="13"/>
    </row>
    <row r="839" ht="15.75" customHeight="1">
      <c r="A839" s="13"/>
      <c r="B839" s="13"/>
      <c r="C839" s="13"/>
      <c r="D839" s="13"/>
      <c r="E839" s="13"/>
      <c r="F839" s="13"/>
      <c r="M839" s="13"/>
    </row>
    <row r="840" ht="15.75" customHeight="1">
      <c r="A840" s="13"/>
      <c r="B840" s="13"/>
      <c r="C840" s="13"/>
      <c r="D840" s="13"/>
      <c r="E840" s="13"/>
      <c r="F840" s="13"/>
      <c r="M840" s="13"/>
    </row>
    <row r="841" ht="15.75" customHeight="1">
      <c r="A841" s="13"/>
      <c r="B841" s="13"/>
      <c r="C841" s="13"/>
      <c r="D841" s="13"/>
      <c r="E841" s="13"/>
      <c r="F841" s="13"/>
      <c r="M841" s="13"/>
    </row>
    <row r="842" ht="15.75" customHeight="1">
      <c r="A842" s="13"/>
      <c r="B842" s="13"/>
      <c r="C842" s="13"/>
      <c r="D842" s="13"/>
      <c r="E842" s="13"/>
      <c r="F842" s="13"/>
      <c r="M842" s="13"/>
    </row>
    <row r="843" ht="15.75" customHeight="1">
      <c r="A843" s="13"/>
      <c r="B843" s="13"/>
      <c r="C843" s="13"/>
      <c r="D843" s="13"/>
      <c r="E843" s="13"/>
      <c r="F843" s="13"/>
      <c r="M843" s="13"/>
    </row>
    <row r="844" ht="15.75" customHeight="1">
      <c r="A844" s="13"/>
      <c r="B844" s="13"/>
      <c r="C844" s="13"/>
      <c r="D844" s="13"/>
      <c r="E844" s="13"/>
      <c r="F844" s="13"/>
      <c r="M844" s="13"/>
    </row>
    <row r="845" ht="15.75" customHeight="1">
      <c r="A845" s="13"/>
      <c r="B845" s="13"/>
      <c r="C845" s="13"/>
      <c r="D845" s="13"/>
      <c r="E845" s="13"/>
      <c r="F845" s="13"/>
      <c r="M845" s="13"/>
    </row>
    <row r="846" ht="15.75" customHeight="1">
      <c r="A846" s="13"/>
      <c r="B846" s="13"/>
      <c r="C846" s="13"/>
      <c r="D846" s="13"/>
      <c r="E846" s="13"/>
      <c r="F846" s="13"/>
      <c r="M846" s="13"/>
    </row>
    <row r="847" ht="15.75" customHeight="1">
      <c r="A847" s="13"/>
      <c r="B847" s="13"/>
      <c r="C847" s="13"/>
      <c r="D847" s="13"/>
      <c r="E847" s="13"/>
      <c r="F847" s="13"/>
      <c r="M847" s="13"/>
    </row>
    <row r="848" ht="15.75" customHeight="1">
      <c r="A848" s="13"/>
      <c r="B848" s="13"/>
      <c r="C848" s="13"/>
      <c r="D848" s="13"/>
      <c r="E848" s="13"/>
      <c r="F848" s="13"/>
      <c r="M848" s="13"/>
    </row>
    <row r="849" ht="15.75" customHeight="1">
      <c r="A849" s="13"/>
      <c r="B849" s="13"/>
      <c r="C849" s="13"/>
      <c r="D849" s="13"/>
      <c r="E849" s="13"/>
      <c r="F849" s="13"/>
      <c r="M849" s="13"/>
    </row>
    <row r="850" ht="15.75" customHeight="1">
      <c r="A850" s="13"/>
      <c r="B850" s="13"/>
      <c r="C850" s="13"/>
      <c r="D850" s="13"/>
      <c r="E850" s="13"/>
      <c r="F850" s="13"/>
      <c r="M850" s="13"/>
    </row>
    <row r="851" ht="15.75" customHeight="1">
      <c r="A851" s="13"/>
      <c r="B851" s="13"/>
      <c r="C851" s="13"/>
      <c r="D851" s="13"/>
      <c r="E851" s="13"/>
      <c r="F851" s="13"/>
      <c r="M851" s="13"/>
    </row>
    <row r="852" ht="15.75" customHeight="1">
      <c r="A852" s="13"/>
      <c r="B852" s="13"/>
      <c r="C852" s="13"/>
      <c r="D852" s="13"/>
      <c r="E852" s="13"/>
      <c r="F852" s="13"/>
      <c r="M852" s="13"/>
    </row>
    <row r="853" ht="15.75" customHeight="1">
      <c r="A853" s="13"/>
      <c r="B853" s="13"/>
      <c r="C853" s="13"/>
      <c r="D853" s="13"/>
      <c r="E853" s="13"/>
      <c r="F853" s="13"/>
      <c r="M853" s="13"/>
    </row>
    <row r="854" ht="15.75" customHeight="1">
      <c r="A854" s="13"/>
      <c r="B854" s="13"/>
      <c r="C854" s="13"/>
      <c r="D854" s="13"/>
      <c r="E854" s="13"/>
      <c r="F854" s="13"/>
      <c r="M854" s="13"/>
    </row>
    <row r="855" ht="15.75" customHeight="1">
      <c r="A855" s="13"/>
      <c r="B855" s="13"/>
      <c r="C855" s="13"/>
      <c r="D855" s="13"/>
      <c r="E855" s="13"/>
      <c r="F855" s="13"/>
      <c r="M855" s="13"/>
    </row>
    <row r="856" ht="15.75" customHeight="1">
      <c r="A856" s="13"/>
      <c r="B856" s="13"/>
      <c r="C856" s="13"/>
      <c r="D856" s="13"/>
      <c r="E856" s="13"/>
      <c r="F856" s="13"/>
      <c r="M856" s="13"/>
    </row>
    <row r="857" ht="15.75" customHeight="1">
      <c r="A857" s="13"/>
      <c r="B857" s="13"/>
      <c r="C857" s="13"/>
      <c r="D857" s="13"/>
      <c r="E857" s="13"/>
      <c r="F857" s="13"/>
      <c r="M857" s="13"/>
    </row>
    <row r="858" ht="15.75" customHeight="1">
      <c r="A858" s="13"/>
      <c r="B858" s="13"/>
      <c r="C858" s="13"/>
      <c r="D858" s="13"/>
      <c r="E858" s="13"/>
      <c r="F858" s="13"/>
      <c r="M858" s="13"/>
    </row>
    <row r="859" ht="15.75" customHeight="1">
      <c r="A859" s="13"/>
      <c r="B859" s="13"/>
      <c r="C859" s="13"/>
      <c r="D859" s="13"/>
      <c r="E859" s="13"/>
      <c r="F859" s="13"/>
      <c r="M859" s="13"/>
    </row>
    <row r="860" ht="15.75" customHeight="1">
      <c r="A860" s="13"/>
      <c r="B860" s="13"/>
      <c r="C860" s="13"/>
      <c r="D860" s="13"/>
      <c r="E860" s="13"/>
      <c r="F860" s="13"/>
      <c r="M860" s="13"/>
    </row>
    <row r="861" ht="15.75" customHeight="1">
      <c r="A861" s="13"/>
      <c r="B861" s="13"/>
      <c r="C861" s="13"/>
      <c r="D861" s="13"/>
      <c r="E861" s="13"/>
      <c r="F861" s="13"/>
      <c r="M861" s="13"/>
    </row>
    <row r="862" ht="15.75" customHeight="1">
      <c r="A862" s="13"/>
      <c r="B862" s="13"/>
      <c r="C862" s="13"/>
      <c r="D862" s="13"/>
      <c r="E862" s="13"/>
      <c r="F862" s="13"/>
      <c r="M862" s="13"/>
    </row>
    <row r="863" ht="15.75" customHeight="1">
      <c r="A863" s="13"/>
      <c r="B863" s="13"/>
      <c r="C863" s="13"/>
      <c r="D863" s="13"/>
      <c r="E863" s="13"/>
      <c r="F863" s="13"/>
      <c r="M863" s="13"/>
    </row>
    <row r="864" ht="15.75" customHeight="1">
      <c r="A864" s="13"/>
      <c r="B864" s="13"/>
      <c r="C864" s="13"/>
      <c r="D864" s="13"/>
      <c r="E864" s="13"/>
      <c r="F864" s="13"/>
      <c r="M864" s="13"/>
    </row>
    <row r="865" ht="15.75" customHeight="1">
      <c r="A865" s="13"/>
      <c r="B865" s="13"/>
      <c r="C865" s="13"/>
      <c r="D865" s="13"/>
      <c r="E865" s="13"/>
      <c r="F865" s="13"/>
      <c r="M865" s="13"/>
    </row>
    <row r="866" ht="15.75" customHeight="1">
      <c r="A866" s="13"/>
      <c r="B866" s="13"/>
      <c r="C866" s="13"/>
      <c r="D866" s="13"/>
      <c r="E866" s="13"/>
      <c r="F866" s="13"/>
      <c r="M866" s="13"/>
    </row>
    <row r="867" ht="15.75" customHeight="1">
      <c r="A867" s="13"/>
      <c r="B867" s="13"/>
      <c r="C867" s="13"/>
      <c r="D867" s="13"/>
      <c r="E867" s="13"/>
      <c r="F867" s="13"/>
      <c r="M867" s="13"/>
    </row>
    <row r="868" ht="15.75" customHeight="1">
      <c r="A868" s="13"/>
      <c r="B868" s="13"/>
      <c r="C868" s="13"/>
      <c r="D868" s="13"/>
      <c r="E868" s="13"/>
      <c r="F868" s="13"/>
      <c r="M868" s="13"/>
    </row>
    <row r="869" ht="15.75" customHeight="1">
      <c r="A869" s="13"/>
      <c r="B869" s="13"/>
      <c r="C869" s="13"/>
      <c r="D869" s="13"/>
      <c r="E869" s="13"/>
      <c r="F869" s="13"/>
      <c r="M869" s="13"/>
    </row>
    <row r="870" ht="15.75" customHeight="1">
      <c r="A870" s="13"/>
      <c r="B870" s="13"/>
      <c r="C870" s="13"/>
      <c r="D870" s="13"/>
      <c r="E870" s="13"/>
      <c r="F870" s="13"/>
      <c r="M870" s="13"/>
    </row>
    <row r="871" ht="15.75" customHeight="1">
      <c r="A871" s="13"/>
      <c r="B871" s="13"/>
      <c r="C871" s="13"/>
      <c r="D871" s="13"/>
      <c r="E871" s="13"/>
      <c r="F871" s="13"/>
      <c r="M871" s="13"/>
    </row>
    <row r="872" ht="15.75" customHeight="1">
      <c r="A872" s="13"/>
      <c r="B872" s="13"/>
      <c r="C872" s="13"/>
      <c r="D872" s="13"/>
      <c r="E872" s="13"/>
      <c r="F872" s="13"/>
      <c r="M872" s="13"/>
    </row>
    <row r="873" ht="15.75" customHeight="1">
      <c r="A873" s="13"/>
      <c r="B873" s="13"/>
      <c r="C873" s="13"/>
      <c r="D873" s="13"/>
      <c r="E873" s="13"/>
      <c r="F873" s="13"/>
      <c r="M873" s="13"/>
    </row>
    <row r="874" ht="15.75" customHeight="1">
      <c r="A874" s="13"/>
      <c r="B874" s="13"/>
      <c r="C874" s="13"/>
      <c r="D874" s="13"/>
      <c r="E874" s="13"/>
      <c r="F874" s="13"/>
      <c r="M874" s="13"/>
    </row>
    <row r="875" ht="15.75" customHeight="1">
      <c r="A875" s="13"/>
      <c r="B875" s="13"/>
      <c r="C875" s="13"/>
      <c r="D875" s="13"/>
      <c r="E875" s="13"/>
      <c r="F875" s="13"/>
      <c r="M875" s="13"/>
    </row>
    <row r="876" ht="15.75" customHeight="1">
      <c r="A876" s="13"/>
      <c r="B876" s="13"/>
      <c r="C876" s="13"/>
      <c r="D876" s="13"/>
      <c r="E876" s="13"/>
      <c r="F876" s="13"/>
      <c r="M876" s="13"/>
    </row>
    <row r="877" ht="15.75" customHeight="1">
      <c r="A877" s="13"/>
      <c r="B877" s="13"/>
      <c r="C877" s="13"/>
      <c r="D877" s="13"/>
      <c r="E877" s="13"/>
      <c r="F877" s="13"/>
      <c r="M877" s="13"/>
    </row>
    <row r="878" ht="15.75" customHeight="1">
      <c r="A878" s="13"/>
      <c r="B878" s="13"/>
      <c r="C878" s="13"/>
      <c r="D878" s="13"/>
      <c r="E878" s="13"/>
      <c r="F878" s="13"/>
      <c r="M878" s="13"/>
    </row>
    <row r="879" ht="15.75" customHeight="1">
      <c r="A879" s="13"/>
      <c r="B879" s="13"/>
      <c r="C879" s="13"/>
      <c r="D879" s="13"/>
      <c r="E879" s="13"/>
      <c r="F879" s="13"/>
      <c r="M879" s="13"/>
    </row>
    <row r="880" ht="15.75" customHeight="1">
      <c r="A880" s="13"/>
      <c r="B880" s="13"/>
      <c r="C880" s="13"/>
      <c r="D880" s="13"/>
      <c r="E880" s="13"/>
      <c r="F880" s="13"/>
      <c r="M880" s="13"/>
    </row>
    <row r="881" ht="15.75" customHeight="1">
      <c r="A881" s="13"/>
      <c r="B881" s="13"/>
      <c r="C881" s="13"/>
      <c r="D881" s="13"/>
      <c r="E881" s="13"/>
      <c r="F881" s="13"/>
      <c r="M881" s="13"/>
    </row>
    <row r="882" ht="15.75" customHeight="1">
      <c r="A882" s="13"/>
      <c r="B882" s="13"/>
      <c r="C882" s="13"/>
      <c r="D882" s="13"/>
      <c r="E882" s="13"/>
      <c r="F882" s="13"/>
      <c r="M882" s="13"/>
    </row>
    <row r="883" ht="15.75" customHeight="1">
      <c r="A883" s="13"/>
      <c r="B883" s="13"/>
      <c r="C883" s="13"/>
      <c r="D883" s="13"/>
      <c r="E883" s="13"/>
      <c r="F883" s="13"/>
      <c r="M883" s="13"/>
    </row>
    <row r="884" ht="15.75" customHeight="1">
      <c r="A884" s="13"/>
      <c r="B884" s="13"/>
      <c r="C884" s="13"/>
      <c r="D884" s="13"/>
      <c r="E884" s="13"/>
      <c r="F884" s="13"/>
      <c r="M884" s="13"/>
    </row>
    <row r="885" ht="15.75" customHeight="1">
      <c r="A885" s="13"/>
      <c r="B885" s="13"/>
      <c r="C885" s="13"/>
      <c r="D885" s="13"/>
      <c r="E885" s="13"/>
      <c r="F885" s="13"/>
      <c r="M885" s="13"/>
    </row>
    <row r="886" ht="15.75" customHeight="1">
      <c r="A886" s="13"/>
      <c r="B886" s="13"/>
      <c r="C886" s="13"/>
      <c r="D886" s="13"/>
      <c r="E886" s="13"/>
      <c r="F886" s="13"/>
      <c r="M886" s="13"/>
    </row>
    <row r="887" ht="15.75" customHeight="1">
      <c r="A887" s="13"/>
      <c r="B887" s="13"/>
      <c r="C887" s="13"/>
      <c r="D887" s="13"/>
      <c r="E887" s="13"/>
      <c r="F887" s="13"/>
      <c r="M887" s="13"/>
    </row>
    <row r="888" ht="15.75" customHeight="1">
      <c r="A888" s="13"/>
      <c r="B888" s="13"/>
      <c r="C888" s="13"/>
      <c r="D888" s="13"/>
      <c r="E888" s="13"/>
      <c r="F888" s="13"/>
      <c r="M888" s="13"/>
    </row>
    <row r="889" ht="15.75" customHeight="1">
      <c r="A889" s="13"/>
      <c r="B889" s="13"/>
      <c r="C889" s="13"/>
      <c r="D889" s="13"/>
      <c r="E889" s="13"/>
      <c r="F889" s="13"/>
      <c r="M889" s="13"/>
    </row>
    <row r="890" ht="15.75" customHeight="1">
      <c r="A890" s="13"/>
      <c r="B890" s="13"/>
      <c r="C890" s="13"/>
      <c r="D890" s="13"/>
      <c r="E890" s="13"/>
      <c r="F890" s="13"/>
      <c r="M890" s="13"/>
    </row>
    <row r="891" ht="15.75" customHeight="1">
      <c r="A891" s="13"/>
      <c r="B891" s="13"/>
      <c r="C891" s="13"/>
      <c r="D891" s="13"/>
      <c r="E891" s="13"/>
      <c r="F891" s="13"/>
      <c r="M891" s="13"/>
    </row>
    <row r="892" ht="15.75" customHeight="1">
      <c r="A892" s="13"/>
      <c r="B892" s="13"/>
      <c r="C892" s="13"/>
      <c r="D892" s="13"/>
      <c r="E892" s="13"/>
      <c r="F892" s="13"/>
      <c r="M892" s="13"/>
    </row>
    <row r="893" ht="15.75" customHeight="1">
      <c r="A893" s="13"/>
      <c r="B893" s="13"/>
      <c r="C893" s="13"/>
      <c r="D893" s="13"/>
      <c r="E893" s="13"/>
      <c r="F893" s="13"/>
      <c r="M893" s="13"/>
    </row>
    <row r="894" ht="15.75" customHeight="1">
      <c r="A894" s="13"/>
      <c r="B894" s="13"/>
      <c r="C894" s="13"/>
      <c r="D894" s="13"/>
      <c r="E894" s="13"/>
      <c r="F894" s="13"/>
      <c r="M894" s="13"/>
    </row>
    <row r="895" ht="15.75" customHeight="1">
      <c r="A895" s="13"/>
      <c r="B895" s="13"/>
      <c r="C895" s="13"/>
      <c r="D895" s="13"/>
      <c r="E895" s="13"/>
      <c r="F895" s="13"/>
      <c r="M895" s="13"/>
    </row>
    <row r="896" ht="15.75" customHeight="1">
      <c r="A896" s="13"/>
      <c r="B896" s="13"/>
      <c r="C896" s="13"/>
      <c r="D896" s="13"/>
      <c r="E896" s="13"/>
      <c r="F896" s="13"/>
      <c r="M896" s="13"/>
    </row>
    <row r="897" ht="15.75" customHeight="1">
      <c r="A897" s="13"/>
      <c r="B897" s="13"/>
      <c r="C897" s="13"/>
      <c r="D897" s="13"/>
      <c r="E897" s="13"/>
      <c r="F897" s="13"/>
      <c r="M897" s="13"/>
    </row>
    <row r="898" ht="15.75" customHeight="1">
      <c r="A898" s="13"/>
      <c r="B898" s="13"/>
      <c r="C898" s="13"/>
      <c r="D898" s="13"/>
      <c r="E898" s="13"/>
      <c r="F898" s="13"/>
      <c r="M898" s="13"/>
    </row>
    <row r="899" ht="15.75" customHeight="1">
      <c r="A899" s="13"/>
      <c r="B899" s="13"/>
      <c r="C899" s="13"/>
      <c r="D899" s="13"/>
      <c r="E899" s="13"/>
      <c r="F899" s="13"/>
      <c r="M899" s="13"/>
    </row>
    <row r="900" ht="15.75" customHeight="1">
      <c r="A900" s="13"/>
      <c r="B900" s="13"/>
      <c r="C900" s="13"/>
      <c r="D900" s="13"/>
      <c r="E900" s="13"/>
      <c r="F900" s="13"/>
      <c r="M900" s="13"/>
    </row>
    <row r="901" ht="15.75" customHeight="1">
      <c r="A901" s="13"/>
      <c r="B901" s="13"/>
      <c r="C901" s="13"/>
      <c r="D901" s="13"/>
      <c r="E901" s="13"/>
      <c r="F901" s="13"/>
      <c r="M901" s="13"/>
    </row>
    <row r="902" ht="15.75" customHeight="1">
      <c r="A902" s="13"/>
      <c r="B902" s="13"/>
      <c r="C902" s="13"/>
      <c r="D902" s="13"/>
      <c r="E902" s="13"/>
      <c r="F902" s="13"/>
      <c r="M902" s="13"/>
    </row>
    <row r="903" ht="15.75" customHeight="1">
      <c r="A903" s="13"/>
      <c r="B903" s="13"/>
      <c r="C903" s="13"/>
      <c r="D903" s="13"/>
      <c r="E903" s="13"/>
      <c r="F903" s="13"/>
      <c r="M903" s="13"/>
    </row>
    <row r="904" ht="15.75" customHeight="1">
      <c r="A904" s="13"/>
      <c r="B904" s="13"/>
      <c r="C904" s="13"/>
      <c r="D904" s="13"/>
      <c r="E904" s="13"/>
      <c r="F904" s="13"/>
      <c r="M904" s="13"/>
    </row>
    <row r="905" ht="15.75" customHeight="1">
      <c r="A905" s="13"/>
      <c r="B905" s="13"/>
      <c r="C905" s="13"/>
      <c r="D905" s="13"/>
      <c r="E905" s="13"/>
      <c r="F905" s="13"/>
      <c r="M905" s="13"/>
    </row>
    <row r="906" ht="15.75" customHeight="1">
      <c r="A906" s="13"/>
      <c r="B906" s="13"/>
      <c r="C906" s="13"/>
      <c r="D906" s="13"/>
      <c r="E906" s="13"/>
      <c r="F906" s="13"/>
      <c r="M906" s="13"/>
    </row>
    <row r="907" ht="15.75" customHeight="1">
      <c r="A907" s="13"/>
      <c r="B907" s="13"/>
      <c r="C907" s="13"/>
      <c r="D907" s="13"/>
      <c r="E907" s="13"/>
      <c r="F907" s="13"/>
      <c r="M907" s="13"/>
    </row>
    <row r="908" ht="15.75" customHeight="1">
      <c r="A908" s="13"/>
      <c r="B908" s="13"/>
      <c r="C908" s="13"/>
      <c r="D908" s="13"/>
      <c r="E908" s="13"/>
      <c r="F908" s="13"/>
      <c r="M908" s="13"/>
    </row>
    <row r="909" ht="15.75" customHeight="1">
      <c r="A909" s="13"/>
      <c r="B909" s="13"/>
      <c r="C909" s="13"/>
      <c r="D909" s="13"/>
      <c r="E909" s="13"/>
      <c r="F909" s="13"/>
      <c r="M909" s="13"/>
    </row>
    <row r="910" ht="15.75" customHeight="1">
      <c r="A910" s="13"/>
      <c r="B910" s="13"/>
      <c r="C910" s="13"/>
      <c r="D910" s="13"/>
      <c r="E910" s="13"/>
      <c r="F910" s="13"/>
      <c r="M910" s="13"/>
    </row>
    <row r="911" ht="15.75" customHeight="1">
      <c r="A911" s="13"/>
      <c r="B911" s="13"/>
      <c r="C911" s="13"/>
      <c r="D911" s="13"/>
      <c r="E911" s="13"/>
      <c r="F911" s="13"/>
      <c r="M911" s="13"/>
    </row>
    <row r="912" ht="15.75" customHeight="1">
      <c r="A912" s="13"/>
      <c r="B912" s="13"/>
      <c r="C912" s="13"/>
      <c r="D912" s="13"/>
      <c r="E912" s="13"/>
      <c r="F912" s="13"/>
      <c r="M912" s="13"/>
    </row>
    <row r="913" ht="15.75" customHeight="1">
      <c r="A913" s="13"/>
      <c r="B913" s="13"/>
      <c r="C913" s="13"/>
      <c r="D913" s="13"/>
      <c r="E913" s="13"/>
      <c r="F913" s="13"/>
      <c r="M913" s="13"/>
    </row>
    <row r="914" ht="15.75" customHeight="1">
      <c r="A914" s="13"/>
      <c r="B914" s="13"/>
      <c r="C914" s="13"/>
      <c r="D914" s="13"/>
      <c r="E914" s="13"/>
      <c r="F914" s="13"/>
      <c r="M914" s="13"/>
    </row>
    <row r="915" ht="15.75" customHeight="1">
      <c r="A915" s="13"/>
      <c r="B915" s="13"/>
      <c r="C915" s="13"/>
      <c r="D915" s="13"/>
      <c r="E915" s="13"/>
      <c r="F915" s="13"/>
      <c r="M915" s="13"/>
    </row>
    <row r="916" ht="15.75" customHeight="1">
      <c r="A916" s="13"/>
      <c r="B916" s="13"/>
      <c r="C916" s="13"/>
      <c r="D916" s="13"/>
      <c r="E916" s="13"/>
      <c r="F916" s="13"/>
      <c r="M916" s="13"/>
    </row>
    <row r="917" ht="15.75" customHeight="1">
      <c r="A917" s="13"/>
      <c r="B917" s="13"/>
      <c r="C917" s="13"/>
      <c r="D917" s="13"/>
      <c r="E917" s="13"/>
      <c r="F917" s="13"/>
      <c r="M917" s="13"/>
    </row>
    <row r="918" ht="15.75" customHeight="1">
      <c r="A918" s="13"/>
      <c r="B918" s="13"/>
      <c r="C918" s="13"/>
      <c r="D918" s="13"/>
      <c r="E918" s="13"/>
      <c r="F918" s="13"/>
      <c r="M918" s="13"/>
    </row>
    <row r="919" ht="15.75" customHeight="1">
      <c r="A919" s="13"/>
      <c r="B919" s="13"/>
      <c r="C919" s="13"/>
      <c r="D919" s="13"/>
      <c r="E919" s="13"/>
      <c r="F919" s="13"/>
      <c r="M919" s="13"/>
    </row>
    <row r="920" ht="15.75" customHeight="1">
      <c r="A920" s="13"/>
      <c r="B920" s="13"/>
      <c r="C920" s="13"/>
      <c r="D920" s="13"/>
      <c r="E920" s="13"/>
      <c r="F920" s="13"/>
      <c r="M920" s="13"/>
    </row>
    <row r="921" ht="15.75" customHeight="1">
      <c r="A921" s="13"/>
      <c r="B921" s="13"/>
      <c r="C921" s="13"/>
      <c r="D921" s="13"/>
      <c r="E921" s="13"/>
      <c r="F921" s="13"/>
      <c r="M921" s="13"/>
    </row>
    <row r="922" ht="15.75" customHeight="1">
      <c r="A922" s="13"/>
      <c r="B922" s="13"/>
      <c r="C922" s="13"/>
      <c r="D922" s="13"/>
      <c r="E922" s="13"/>
      <c r="F922" s="13"/>
      <c r="M922" s="13"/>
    </row>
    <row r="923" ht="15.75" customHeight="1">
      <c r="A923" s="13"/>
      <c r="B923" s="13"/>
      <c r="C923" s="13"/>
      <c r="D923" s="13"/>
      <c r="E923" s="13"/>
      <c r="F923" s="13"/>
      <c r="M923" s="13"/>
    </row>
    <row r="924" ht="15.75" customHeight="1">
      <c r="A924" s="13"/>
      <c r="B924" s="13"/>
      <c r="C924" s="13"/>
      <c r="D924" s="13"/>
      <c r="E924" s="13"/>
      <c r="F924" s="13"/>
      <c r="M924" s="13"/>
    </row>
    <row r="925" ht="15.75" customHeight="1">
      <c r="A925" s="13"/>
      <c r="B925" s="13"/>
      <c r="C925" s="13"/>
      <c r="D925" s="13"/>
      <c r="E925" s="13"/>
      <c r="F925" s="13"/>
      <c r="M925" s="13"/>
    </row>
    <row r="926" ht="15.75" customHeight="1">
      <c r="A926" s="13"/>
      <c r="B926" s="13"/>
      <c r="C926" s="13"/>
      <c r="D926" s="13"/>
      <c r="E926" s="13"/>
      <c r="F926" s="13"/>
      <c r="M926" s="13"/>
    </row>
    <row r="927" ht="15.75" customHeight="1">
      <c r="A927" s="13"/>
      <c r="B927" s="13"/>
      <c r="C927" s="13"/>
      <c r="D927" s="13"/>
      <c r="E927" s="13"/>
      <c r="F927" s="13"/>
      <c r="M927" s="13"/>
    </row>
    <row r="928" ht="15.75" customHeight="1">
      <c r="A928" s="13"/>
      <c r="B928" s="13"/>
      <c r="C928" s="13"/>
      <c r="D928" s="13"/>
      <c r="E928" s="13"/>
      <c r="F928" s="13"/>
      <c r="M928" s="13"/>
    </row>
    <row r="929" ht="15.75" customHeight="1">
      <c r="A929" s="13"/>
      <c r="B929" s="13"/>
      <c r="C929" s="13"/>
      <c r="D929" s="13"/>
      <c r="E929" s="13"/>
      <c r="F929" s="13"/>
      <c r="M929" s="13"/>
    </row>
    <row r="930" ht="15.75" customHeight="1">
      <c r="A930" s="13"/>
      <c r="B930" s="13"/>
      <c r="C930" s="13"/>
      <c r="D930" s="13"/>
      <c r="E930" s="13"/>
      <c r="F930" s="13"/>
      <c r="M930" s="13"/>
    </row>
    <row r="931" ht="15.75" customHeight="1">
      <c r="A931" s="13"/>
      <c r="B931" s="13"/>
      <c r="C931" s="13"/>
      <c r="D931" s="13"/>
      <c r="E931" s="13"/>
      <c r="F931" s="13"/>
      <c r="M931" s="13"/>
    </row>
    <row r="932" ht="15.75" customHeight="1">
      <c r="A932" s="13"/>
      <c r="B932" s="13"/>
      <c r="C932" s="13"/>
      <c r="D932" s="13"/>
      <c r="E932" s="13"/>
      <c r="F932" s="13"/>
      <c r="M932" s="13"/>
    </row>
    <row r="933" ht="15.75" customHeight="1">
      <c r="A933" s="13"/>
      <c r="B933" s="13"/>
      <c r="C933" s="13"/>
      <c r="D933" s="13"/>
      <c r="E933" s="13"/>
      <c r="F933" s="13"/>
      <c r="M933" s="13"/>
    </row>
    <row r="934" ht="15.75" customHeight="1">
      <c r="A934" s="13"/>
      <c r="B934" s="13"/>
      <c r="C934" s="13"/>
      <c r="D934" s="13"/>
      <c r="E934" s="13"/>
      <c r="F934" s="13"/>
      <c r="M934" s="13"/>
    </row>
    <row r="935" ht="15.75" customHeight="1">
      <c r="A935" s="13"/>
      <c r="B935" s="13"/>
      <c r="C935" s="13"/>
      <c r="D935" s="13"/>
      <c r="E935" s="13"/>
      <c r="F935" s="13"/>
      <c r="M935" s="13"/>
    </row>
    <row r="936" ht="15.75" customHeight="1">
      <c r="A936" s="13"/>
      <c r="B936" s="13"/>
      <c r="C936" s="13"/>
      <c r="D936" s="13"/>
      <c r="E936" s="13"/>
      <c r="F936" s="13"/>
      <c r="M936" s="13"/>
    </row>
    <row r="937" ht="15.75" customHeight="1">
      <c r="A937" s="13"/>
      <c r="B937" s="13"/>
      <c r="C937" s="13"/>
      <c r="D937" s="13"/>
      <c r="E937" s="13"/>
      <c r="F937" s="13"/>
      <c r="M937" s="13"/>
    </row>
    <row r="938" ht="15.75" customHeight="1">
      <c r="A938" s="13"/>
      <c r="B938" s="13"/>
      <c r="C938" s="13"/>
      <c r="D938" s="13"/>
      <c r="E938" s="13"/>
      <c r="F938" s="13"/>
      <c r="M938" s="13"/>
    </row>
    <row r="939" ht="15.75" customHeight="1">
      <c r="A939" s="13"/>
      <c r="B939" s="13"/>
      <c r="C939" s="13"/>
      <c r="D939" s="13"/>
      <c r="E939" s="13"/>
      <c r="F939" s="13"/>
      <c r="M939" s="13"/>
    </row>
    <row r="940" ht="15.75" customHeight="1">
      <c r="A940" s="13"/>
      <c r="B940" s="13"/>
      <c r="C940" s="13"/>
      <c r="D940" s="13"/>
      <c r="E940" s="13"/>
      <c r="F940" s="13"/>
      <c r="M940" s="13"/>
    </row>
    <row r="941" ht="15.75" customHeight="1">
      <c r="A941" s="13"/>
      <c r="B941" s="13"/>
      <c r="C941" s="13"/>
      <c r="D941" s="13"/>
      <c r="E941" s="13"/>
      <c r="F941" s="13"/>
      <c r="M941" s="13"/>
    </row>
    <row r="942" ht="15.75" customHeight="1">
      <c r="A942" s="13"/>
      <c r="B942" s="13"/>
      <c r="C942" s="13"/>
      <c r="D942" s="13"/>
      <c r="E942" s="13"/>
      <c r="F942" s="13"/>
      <c r="M942" s="13"/>
    </row>
    <row r="943" ht="15.75" customHeight="1">
      <c r="A943" s="13"/>
      <c r="B943" s="13"/>
      <c r="C943" s="13"/>
      <c r="D943" s="13"/>
      <c r="E943" s="13"/>
      <c r="F943" s="13"/>
      <c r="M943" s="13"/>
    </row>
    <row r="944" ht="15.75" customHeight="1">
      <c r="A944" s="13"/>
      <c r="B944" s="13"/>
      <c r="C944" s="13"/>
      <c r="D944" s="13"/>
      <c r="E944" s="13"/>
      <c r="F944" s="13"/>
      <c r="M944" s="13"/>
    </row>
    <row r="945" ht="15.75" customHeight="1">
      <c r="A945" s="13"/>
      <c r="B945" s="13"/>
      <c r="C945" s="13"/>
      <c r="D945" s="13"/>
      <c r="E945" s="13"/>
      <c r="F945" s="13"/>
      <c r="M945" s="13"/>
    </row>
    <row r="946" ht="15.75" customHeight="1">
      <c r="A946" s="13"/>
      <c r="B946" s="13"/>
      <c r="C946" s="13"/>
      <c r="D946" s="13"/>
      <c r="E946" s="13"/>
      <c r="F946" s="13"/>
      <c r="M946" s="13"/>
    </row>
    <row r="947" ht="15.75" customHeight="1">
      <c r="A947" s="13"/>
      <c r="B947" s="13"/>
      <c r="C947" s="13"/>
      <c r="D947" s="13"/>
      <c r="E947" s="13"/>
      <c r="F947" s="13"/>
      <c r="M947" s="13"/>
    </row>
    <row r="948" ht="15.75" customHeight="1">
      <c r="A948" s="13"/>
      <c r="B948" s="13"/>
      <c r="C948" s="13"/>
      <c r="D948" s="13"/>
      <c r="E948" s="13"/>
      <c r="F948" s="13"/>
      <c r="M948" s="13"/>
    </row>
    <row r="949" ht="15.75" customHeight="1">
      <c r="A949" s="13"/>
      <c r="B949" s="13"/>
      <c r="C949" s="13"/>
      <c r="D949" s="13"/>
      <c r="E949" s="13"/>
      <c r="F949" s="13"/>
      <c r="M949" s="13"/>
    </row>
    <row r="950" ht="15.75" customHeight="1">
      <c r="A950" s="13"/>
      <c r="B950" s="13"/>
      <c r="C950" s="13"/>
      <c r="D950" s="13"/>
      <c r="E950" s="13"/>
      <c r="F950" s="13"/>
      <c r="M950" s="13"/>
    </row>
    <row r="951" ht="15.75" customHeight="1">
      <c r="A951" s="13"/>
      <c r="B951" s="13"/>
      <c r="C951" s="13"/>
      <c r="D951" s="13"/>
      <c r="E951" s="13"/>
      <c r="F951" s="13"/>
      <c r="M951" s="13"/>
    </row>
    <row r="952" ht="15.75" customHeight="1">
      <c r="A952" s="13"/>
      <c r="B952" s="13"/>
      <c r="C952" s="13"/>
      <c r="D952" s="13"/>
      <c r="E952" s="13"/>
      <c r="F952" s="13"/>
      <c r="M952" s="13"/>
    </row>
    <row r="953" ht="15.75" customHeight="1">
      <c r="A953" s="13"/>
      <c r="B953" s="13"/>
      <c r="C953" s="13"/>
      <c r="D953" s="13"/>
      <c r="E953" s="13"/>
      <c r="F953" s="13"/>
      <c r="M953" s="13"/>
    </row>
    <row r="954" ht="15.75" customHeight="1">
      <c r="A954" s="13"/>
      <c r="B954" s="13"/>
      <c r="C954" s="13"/>
      <c r="D954" s="13"/>
      <c r="E954" s="13"/>
      <c r="F954" s="13"/>
      <c r="M954" s="13"/>
    </row>
    <row r="955" ht="15.75" customHeight="1">
      <c r="A955" s="13"/>
      <c r="B955" s="13"/>
      <c r="C955" s="13"/>
      <c r="D955" s="13"/>
      <c r="E955" s="13"/>
      <c r="F955" s="13"/>
      <c r="M955" s="13"/>
    </row>
    <row r="956" ht="15.75" customHeight="1">
      <c r="A956" s="13"/>
      <c r="B956" s="13"/>
      <c r="C956" s="13"/>
      <c r="D956" s="13"/>
      <c r="E956" s="13"/>
      <c r="F956" s="13"/>
      <c r="M956" s="13"/>
    </row>
    <row r="957" ht="15.75" customHeight="1">
      <c r="A957" s="13"/>
      <c r="B957" s="13"/>
      <c r="C957" s="13"/>
      <c r="D957" s="13"/>
      <c r="E957" s="13"/>
      <c r="F957" s="13"/>
      <c r="M957" s="13"/>
    </row>
    <row r="958" ht="15.75" customHeight="1">
      <c r="A958" s="13"/>
      <c r="B958" s="13"/>
      <c r="C958" s="13"/>
      <c r="D958" s="13"/>
      <c r="E958" s="13"/>
      <c r="F958" s="13"/>
      <c r="M958" s="13"/>
    </row>
    <row r="959" ht="15.75" customHeight="1">
      <c r="A959" s="13"/>
      <c r="B959" s="13"/>
      <c r="C959" s="13"/>
      <c r="D959" s="13"/>
      <c r="E959" s="13"/>
      <c r="F959" s="13"/>
      <c r="M959" s="13"/>
    </row>
    <row r="960" ht="15.75" customHeight="1">
      <c r="A960" s="13"/>
      <c r="B960" s="13"/>
      <c r="C960" s="13"/>
      <c r="D960" s="13"/>
      <c r="E960" s="13"/>
      <c r="F960" s="13"/>
      <c r="M960" s="13"/>
    </row>
    <row r="961" ht="15.75" customHeight="1">
      <c r="A961" s="13"/>
      <c r="B961" s="13"/>
      <c r="C961" s="13"/>
      <c r="D961" s="13"/>
      <c r="E961" s="13"/>
      <c r="F961" s="13"/>
      <c r="M961" s="13"/>
    </row>
    <row r="962" ht="15.75" customHeight="1">
      <c r="A962" s="13"/>
      <c r="B962" s="13"/>
      <c r="C962" s="13"/>
      <c r="D962" s="13"/>
      <c r="E962" s="13"/>
      <c r="F962" s="13"/>
      <c r="M962" s="13"/>
    </row>
    <row r="963" ht="15.75" customHeight="1">
      <c r="A963" s="13"/>
      <c r="B963" s="13"/>
      <c r="C963" s="13"/>
      <c r="D963" s="13"/>
      <c r="E963" s="13"/>
      <c r="F963" s="13"/>
      <c r="M963" s="13"/>
    </row>
    <row r="964" ht="15.75" customHeight="1">
      <c r="A964" s="13"/>
      <c r="B964" s="13"/>
      <c r="C964" s="13"/>
      <c r="D964" s="13"/>
      <c r="E964" s="13"/>
      <c r="F964" s="13"/>
      <c r="M964" s="13"/>
    </row>
    <row r="965" ht="15.75" customHeight="1">
      <c r="A965" s="13"/>
      <c r="B965" s="13"/>
      <c r="C965" s="13"/>
      <c r="D965" s="13"/>
      <c r="E965" s="13"/>
      <c r="F965" s="13"/>
      <c r="M965" s="13"/>
    </row>
    <row r="966" ht="15.75" customHeight="1">
      <c r="A966" s="13"/>
      <c r="B966" s="13"/>
      <c r="C966" s="13"/>
      <c r="D966" s="13"/>
      <c r="E966" s="13"/>
      <c r="F966" s="13"/>
      <c r="M966" s="13"/>
    </row>
    <row r="967" ht="15.75" customHeight="1">
      <c r="A967" s="13"/>
      <c r="B967" s="13"/>
      <c r="C967" s="13"/>
      <c r="D967" s="13"/>
      <c r="E967" s="13"/>
      <c r="F967" s="13"/>
      <c r="M967" s="13"/>
    </row>
    <row r="968" ht="15.75" customHeight="1">
      <c r="A968" s="13"/>
      <c r="B968" s="13"/>
      <c r="C968" s="13"/>
      <c r="D968" s="13"/>
      <c r="E968" s="13"/>
      <c r="F968" s="13"/>
      <c r="M968" s="13"/>
    </row>
    <row r="969" ht="15.75" customHeight="1">
      <c r="A969" s="13"/>
      <c r="B969" s="13"/>
      <c r="C969" s="13"/>
      <c r="D969" s="13"/>
      <c r="E969" s="13"/>
      <c r="F969" s="13"/>
      <c r="M969" s="13"/>
    </row>
    <row r="970" ht="15.75" customHeight="1">
      <c r="A970" s="13"/>
      <c r="B970" s="13"/>
      <c r="C970" s="13"/>
      <c r="D970" s="13"/>
      <c r="E970" s="13"/>
      <c r="F970" s="13"/>
      <c r="M970" s="13"/>
    </row>
    <row r="971" ht="15.75" customHeight="1">
      <c r="A971" s="13"/>
      <c r="B971" s="13"/>
      <c r="C971" s="13"/>
      <c r="D971" s="13"/>
      <c r="E971" s="13"/>
      <c r="F971" s="13"/>
      <c r="M971" s="13"/>
    </row>
    <row r="972" ht="15.75" customHeight="1">
      <c r="A972" s="13"/>
      <c r="B972" s="13"/>
      <c r="C972" s="13"/>
      <c r="D972" s="13"/>
      <c r="E972" s="13"/>
      <c r="F972" s="13"/>
      <c r="M972" s="13"/>
    </row>
    <row r="973" ht="15.75" customHeight="1">
      <c r="A973" s="13"/>
      <c r="B973" s="13"/>
      <c r="C973" s="13"/>
      <c r="D973" s="13"/>
      <c r="E973" s="13"/>
      <c r="F973" s="13"/>
      <c r="M973" s="13"/>
    </row>
    <row r="974" ht="15.75" customHeight="1">
      <c r="A974" s="13"/>
      <c r="B974" s="13"/>
      <c r="C974" s="13"/>
      <c r="D974" s="13"/>
      <c r="E974" s="13"/>
      <c r="F974" s="13"/>
      <c r="M974" s="13"/>
    </row>
    <row r="975" ht="15.75" customHeight="1">
      <c r="A975" s="13"/>
      <c r="B975" s="13"/>
      <c r="C975" s="13"/>
      <c r="D975" s="13"/>
      <c r="E975" s="13"/>
      <c r="F975" s="13"/>
      <c r="M975" s="13"/>
    </row>
    <row r="976" ht="15.75" customHeight="1">
      <c r="A976" s="13"/>
      <c r="B976" s="13"/>
      <c r="C976" s="13"/>
      <c r="D976" s="13"/>
      <c r="E976" s="13"/>
      <c r="F976" s="13"/>
      <c r="M976" s="13"/>
    </row>
    <row r="977" ht="15.75" customHeight="1">
      <c r="A977" s="13"/>
      <c r="B977" s="13"/>
      <c r="C977" s="13"/>
      <c r="D977" s="13"/>
      <c r="E977" s="13"/>
      <c r="F977" s="13"/>
      <c r="M977" s="13"/>
    </row>
    <row r="978" ht="15.75" customHeight="1">
      <c r="A978" s="13"/>
      <c r="B978" s="13"/>
      <c r="C978" s="13"/>
      <c r="D978" s="13"/>
      <c r="E978" s="13"/>
      <c r="F978" s="13"/>
      <c r="M978" s="13"/>
    </row>
    <row r="979" ht="15.75" customHeight="1">
      <c r="A979" s="13"/>
      <c r="B979" s="13"/>
      <c r="C979" s="13"/>
      <c r="D979" s="13"/>
      <c r="E979" s="13"/>
      <c r="F979" s="13"/>
      <c r="M979" s="13"/>
    </row>
    <row r="980" ht="15.75" customHeight="1">
      <c r="A980" s="13"/>
      <c r="B980" s="13"/>
      <c r="C980" s="13"/>
      <c r="D980" s="13"/>
      <c r="E980" s="13"/>
      <c r="F980" s="13"/>
      <c r="M980" s="13"/>
    </row>
    <row r="981" ht="15.75" customHeight="1">
      <c r="A981" s="13"/>
      <c r="B981" s="13"/>
      <c r="C981" s="13"/>
      <c r="D981" s="13"/>
      <c r="E981" s="13"/>
      <c r="F981" s="13"/>
      <c r="M981" s="13"/>
    </row>
    <row r="982" ht="15.75" customHeight="1">
      <c r="A982" s="13"/>
      <c r="B982" s="13"/>
      <c r="C982" s="13"/>
      <c r="D982" s="13"/>
      <c r="E982" s="13"/>
      <c r="F982" s="13"/>
      <c r="M982" s="13"/>
    </row>
    <row r="983" ht="15.75" customHeight="1">
      <c r="A983" s="13"/>
      <c r="B983" s="13"/>
      <c r="C983" s="13"/>
      <c r="D983" s="13"/>
      <c r="E983" s="13"/>
      <c r="F983" s="13"/>
      <c r="M983" s="13"/>
    </row>
    <row r="984" ht="15.75" customHeight="1">
      <c r="A984" s="13"/>
      <c r="B984" s="13"/>
      <c r="C984" s="13"/>
      <c r="D984" s="13"/>
      <c r="E984" s="13"/>
      <c r="F984" s="13"/>
      <c r="M984" s="13"/>
    </row>
    <row r="985" ht="15.75" customHeight="1">
      <c r="A985" s="13"/>
      <c r="B985" s="13"/>
      <c r="C985" s="13"/>
      <c r="D985" s="13"/>
      <c r="E985" s="13"/>
      <c r="F985" s="13"/>
      <c r="M985" s="13"/>
    </row>
    <row r="986" ht="15.75" customHeight="1">
      <c r="A986" s="13"/>
      <c r="B986" s="13"/>
      <c r="C986" s="13"/>
      <c r="D986" s="13"/>
      <c r="E986" s="13"/>
      <c r="F986" s="13"/>
      <c r="M986" s="13"/>
    </row>
    <row r="987" ht="15.75" customHeight="1">
      <c r="A987" s="13"/>
      <c r="B987" s="13"/>
      <c r="C987" s="13"/>
      <c r="D987" s="13"/>
      <c r="E987" s="13"/>
      <c r="F987" s="13"/>
      <c r="M987" s="13"/>
    </row>
    <row r="988" ht="15.75" customHeight="1">
      <c r="A988" s="13"/>
      <c r="B988" s="13"/>
      <c r="C988" s="13"/>
      <c r="D988" s="13"/>
      <c r="E988" s="13"/>
      <c r="F988" s="13"/>
      <c r="M988" s="13"/>
    </row>
    <row r="989" ht="15.75" customHeight="1">
      <c r="A989" s="13"/>
      <c r="B989" s="13"/>
      <c r="C989" s="13"/>
      <c r="D989" s="13"/>
      <c r="E989" s="13"/>
      <c r="F989" s="13"/>
      <c r="M989" s="13"/>
    </row>
    <row r="990" ht="15.75" customHeight="1">
      <c r="A990" s="13"/>
      <c r="B990" s="13"/>
      <c r="C990" s="13"/>
      <c r="D990" s="13"/>
      <c r="E990" s="13"/>
      <c r="F990" s="13"/>
      <c r="M990" s="13"/>
    </row>
    <row r="991" ht="15.75" customHeight="1">
      <c r="A991" s="13"/>
      <c r="B991" s="13"/>
      <c r="C991" s="13"/>
      <c r="D991" s="13"/>
      <c r="E991" s="13"/>
      <c r="F991" s="13"/>
      <c r="M991" s="13"/>
    </row>
    <row r="992" ht="15.75" customHeight="1">
      <c r="A992" s="13"/>
      <c r="B992" s="13"/>
      <c r="C992" s="13"/>
      <c r="D992" s="13"/>
      <c r="E992" s="13"/>
      <c r="F992" s="13"/>
      <c r="M992" s="13"/>
    </row>
    <row r="993" ht="15.75" customHeight="1">
      <c r="A993" s="13"/>
      <c r="B993" s="13"/>
      <c r="C993" s="13"/>
      <c r="D993" s="13"/>
      <c r="E993" s="13"/>
      <c r="F993" s="13"/>
      <c r="M993" s="13"/>
    </row>
    <row r="994" ht="15.75" customHeight="1">
      <c r="A994" s="13"/>
      <c r="B994" s="13"/>
      <c r="C994" s="13"/>
      <c r="D994" s="13"/>
      <c r="E994" s="13"/>
      <c r="F994" s="13"/>
      <c r="M994" s="13"/>
    </row>
    <row r="995" ht="15.75" customHeight="1">
      <c r="A995" s="13"/>
      <c r="B995" s="13"/>
      <c r="C995" s="13"/>
      <c r="D995" s="13"/>
      <c r="E995" s="13"/>
      <c r="F995" s="13"/>
      <c r="M995" s="13"/>
    </row>
    <row r="996" ht="15.75" customHeight="1">
      <c r="A996" s="13"/>
      <c r="B996" s="13"/>
      <c r="C996" s="13"/>
      <c r="D996" s="13"/>
      <c r="E996" s="13"/>
      <c r="F996" s="13"/>
      <c r="M996" s="13"/>
    </row>
    <row r="997" ht="15.75" customHeight="1">
      <c r="A997" s="13"/>
      <c r="B997" s="13"/>
      <c r="C997" s="13"/>
      <c r="D997" s="13"/>
      <c r="E997" s="13"/>
      <c r="F997" s="13"/>
      <c r="M997" s="13"/>
    </row>
    <row r="998" ht="15.75" customHeight="1">
      <c r="A998" s="13"/>
      <c r="B998" s="13"/>
      <c r="C998" s="13"/>
      <c r="D998" s="13"/>
      <c r="E998" s="13"/>
      <c r="F998" s="13"/>
      <c r="M998" s="13"/>
    </row>
    <row r="999" ht="15.75" customHeight="1">
      <c r="A999" s="13"/>
      <c r="B999" s="13"/>
      <c r="C999" s="13"/>
      <c r="D999" s="13"/>
      <c r="E999" s="13"/>
      <c r="F999" s="13"/>
      <c r="M999" s="13"/>
    </row>
    <row r="1000" ht="15.75" customHeight="1">
      <c r="A1000" s="13"/>
      <c r="B1000" s="13"/>
      <c r="C1000" s="13"/>
      <c r="D1000" s="13"/>
      <c r="E1000" s="13"/>
      <c r="F1000" s="13"/>
      <c r="M1000" s="13"/>
    </row>
  </sheetData>
  <conditionalFormatting sqref="L1:L1000">
    <cfRule type="containsText" dxfId="0" priority="1" operator="containsText" text="TRUE">
      <formula>NOT(ISERROR(SEARCH(("TRUE"),(L1))))</formula>
    </cfRule>
  </conditionalFormatting>
  <conditionalFormatting sqref="L1:L1000">
    <cfRule type="containsText" dxfId="1" priority="2" operator="containsText" text="FALSE">
      <formula>NOT(ISERROR(SEARCH(("FALSE"),(L1))))</formula>
    </cfRule>
  </conditionalFormatting>
  <printOptions/>
  <pageMargins bottom="1.0" footer="0.0" header="0.0" left="0.75" right="0.75" top="1.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75"/>
    <col customWidth="1" min="2" max="2" width="15.75"/>
    <col customWidth="1" min="3" max="3" width="15.63"/>
    <col customWidth="1" min="4" max="4" width="17.13"/>
    <col customWidth="1" min="5" max="5" width="11.0"/>
    <col customWidth="1" min="6" max="6" width="12.63"/>
    <col customWidth="1" min="7" max="7" width="9.63"/>
    <col customWidth="1" min="8" max="8" width="10.5"/>
    <col customWidth="1" min="9" max="9" width="9.0"/>
    <col customWidth="1" min="10" max="10" width="20.0"/>
    <col customWidth="1" min="13" max="13" width="18.38"/>
  </cols>
  <sheetData>
    <row r="1" ht="15.75" customHeight="1">
      <c r="A1" s="15" t="s">
        <v>0</v>
      </c>
      <c r="B1" s="15" t="s">
        <v>20</v>
      </c>
      <c r="C1" s="15" t="s">
        <v>21</v>
      </c>
      <c r="D1" s="15" t="s">
        <v>22</v>
      </c>
      <c r="E1" s="15" t="s">
        <v>23</v>
      </c>
      <c r="F1" s="15" t="s">
        <v>24</v>
      </c>
      <c r="G1" s="15" t="s">
        <v>25</v>
      </c>
      <c r="H1" s="15" t="s">
        <v>26</v>
      </c>
      <c r="I1" s="15" t="s">
        <v>28</v>
      </c>
      <c r="J1" s="15" t="s">
        <v>78</v>
      </c>
      <c r="K1" s="15"/>
      <c r="L1" s="20" t="s">
        <v>31</v>
      </c>
      <c r="M1" s="15" t="s">
        <v>79</v>
      </c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5.75" customHeight="1">
      <c r="A2" s="14" t="s">
        <v>13</v>
      </c>
      <c r="B2" s="14" t="s">
        <v>32</v>
      </c>
      <c r="C2" s="14">
        <v>3.907448</v>
      </c>
      <c r="D2" s="14">
        <v>2342.444013</v>
      </c>
      <c r="E2" s="14">
        <v>128.172054</v>
      </c>
      <c r="F2" s="14">
        <v>3.827279</v>
      </c>
      <c r="G2" s="14">
        <v>1.759033</v>
      </c>
      <c r="H2" s="14">
        <v>25.273611</v>
      </c>
      <c r="I2" s="14">
        <v>0.871492462377607</v>
      </c>
      <c r="J2" s="14">
        <v>0.999</v>
      </c>
      <c r="L2" s="16" t="b">
        <v>1</v>
      </c>
      <c r="M2" s="14">
        <f t="shared" ref="M2:M10" si="1"> I2 - I29</f>
        <v>0.02542968261</v>
      </c>
    </row>
    <row r="3" ht="15.75" customHeight="1">
      <c r="A3" s="14" t="s">
        <v>13</v>
      </c>
      <c r="B3" s="14" t="s">
        <v>34</v>
      </c>
      <c r="C3" s="14">
        <v>4.520128</v>
      </c>
      <c r="D3" s="14">
        <v>1487.424623</v>
      </c>
      <c r="E3" s="14">
        <v>55.766691</v>
      </c>
      <c r="F3" s="14">
        <v>7.383351</v>
      </c>
      <c r="G3" s="14">
        <v>2.123863</v>
      </c>
      <c r="H3" s="14">
        <v>60.076879</v>
      </c>
      <c r="I3" s="14">
        <v>0.933523573573573</v>
      </c>
      <c r="J3" s="14">
        <v>0.765</v>
      </c>
      <c r="L3" s="16" t="b">
        <v>0</v>
      </c>
      <c r="M3" s="14">
        <f t="shared" si="1"/>
        <v>-0.04895649399</v>
      </c>
    </row>
    <row r="4" ht="15.75" customHeight="1">
      <c r="A4" s="14" t="s">
        <v>13</v>
      </c>
      <c r="B4" s="14" t="s">
        <v>35</v>
      </c>
      <c r="C4" s="14">
        <v>98.165608</v>
      </c>
      <c r="D4" s="14">
        <v>122285.653783</v>
      </c>
      <c r="E4" s="14">
        <v>3570.967303</v>
      </c>
      <c r="F4" s="14">
        <v>73.361215</v>
      </c>
      <c r="G4" s="14">
        <v>41.595805</v>
      </c>
      <c r="H4" s="14">
        <v>467.547645</v>
      </c>
      <c r="I4" s="14">
        <v>0.897369215902053</v>
      </c>
      <c r="J4" s="14">
        <v>0.962</v>
      </c>
      <c r="L4" s="16" t="b">
        <v>1</v>
      </c>
      <c r="M4" s="14">
        <f t="shared" si="1"/>
        <v>0.007953947984</v>
      </c>
    </row>
    <row r="5" ht="15.75" customHeight="1">
      <c r="A5" s="14" t="s">
        <v>13</v>
      </c>
      <c r="B5" s="14" t="s">
        <v>36</v>
      </c>
      <c r="C5" s="14">
        <v>3.200128</v>
      </c>
      <c r="D5" s="14">
        <v>1003.500687</v>
      </c>
      <c r="E5" s="14">
        <v>32.6008</v>
      </c>
      <c r="F5" s="14">
        <v>4.282823</v>
      </c>
      <c r="G5" s="14">
        <v>1.181363</v>
      </c>
      <c r="H5" s="14">
        <v>28.008788</v>
      </c>
      <c r="I5" s="14">
        <v>0.913148421052631</v>
      </c>
      <c r="J5" s="14">
        <v>0.719</v>
      </c>
      <c r="L5" s="16" t="b">
        <v>0</v>
      </c>
      <c r="M5" s="14">
        <f t="shared" si="1"/>
        <v>-0.05489144737</v>
      </c>
    </row>
    <row r="6" ht="15.75" customHeight="1">
      <c r="A6" s="14" t="s">
        <v>13</v>
      </c>
      <c r="B6" s="14" t="s">
        <v>38</v>
      </c>
      <c r="C6" s="14">
        <v>0.200128</v>
      </c>
      <c r="D6" s="14">
        <v>152.122757</v>
      </c>
      <c r="E6" s="14">
        <v>15.751031</v>
      </c>
      <c r="F6" s="14">
        <v>5.169425</v>
      </c>
      <c r="G6" s="14">
        <v>0.736054</v>
      </c>
      <c r="H6" s="14">
        <v>24.029036</v>
      </c>
      <c r="I6" s="14">
        <v>0.693616309920626</v>
      </c>
      <c r="J6" s="14">
        <v>1.0</v>
      </c>
      <c r="L6" s="16" t="b">
        <v>0</v>
      </c>
      <c r="M6" s="14">
        <f t="shared" si="1"/>
        <v>-0.003109453121</v>
      </c>
    </row>
    <row r="7" ht="15.75" customHeight="1">
      <c r="A7" s="14" t="s">
        <v>13</v>
      </c>
      <c r="B7" s="14" t="s">
        <v>39</v>
      </c>
      <c r="C7" s="14">
        <v>3.340128</v>
      </c>
      <c r="D7" s="14">
        <v>1246.284132</v>
      </c>
      <c r="E7" s="14">
        <v>46.761978</v>
      </c>
      <c r="F7" s="14">
        <v>5.615351</v>
      </c>
      <c r="G7" s="14">
        <v>1.554094</v>
      </c>
      <c r="H7" s="14">
        <v>38.10747</v>
      </c>
      <c r="I7" s="14">
        <v>0.905902777777777</v>
      </c>
      <c r="J7" s="14">
        <v>0.913</v>
      </c>
      <c r="L7" s="16" t="b">
        <v>0</v>
      </c>
      <c r="M7" s="14">
        <f t="shared" si="1"/>
        <v>-0.06433988604</v>
      </c>
    </row>
    <row r="8" ht="15.75" customHeight="1">
      <c r="A8" s="14" t="s">
        <v>13</v>
      </c>
      <c r="B8" s="14" t="s">
        <v>40</v>
      </c>
      <c r="C8" s="14">
        <v>162.039016</v>
      </c>
      <c r="D8" s="14">
        <v>82807.286322</v>
      </c>
      <c r="E8" s="14">
        <v>2657.160885</v>
      </c>
      <c r="F8" s="14">
        <v>17.832114</v>
      </c>
      <c r="G8" s="14">
        <v>74.913712</v>
      </c>
      <c r="H8" s="14">
        <v>266.390564</v>
      </c>
      <c r="I8" s="14">
        <v>0.779188383328251</v>
      </c>
      <c r="J8" s="14">
        <v>0.975</v>
      </c>
      <c r="L8" s="16" t="b">
        <v>1</v>
      </c>
      <c r="M8" s="14">
        <f t="shared" si="1"/>
        <v>0.05351921621</v>
      </c>
    </row>
    <row r="9" ht="15.75" customHeight="1">
      <c r="A9" s="14" t="s">
        <v>13</v>
      </c>
      <c r="B9" s="14" t="s">
        <v>41</v>
      </c>
      <c r="C9" s="14">
        <v>18.712096</v>
      </c>
      <c r="D9" s="14">
        <v>3693.241304</v>
      </c>
      <c r="E9" s="14">
        <v>272.001799</v>
      </c>
      <c r="F9" s="14">
        <v>2.231116</v>
      </c>
      <c r="G9" s="14">
        <v>7.262025</v>
      </c>
      <c r="H9" s="14">
        <v>105.143338</v>
      </c>
      <c r="I9" s="14">
        <v>0.959474669126202</v>
      </c>
      <c r="J9" s="14">
        <v>1.0</v>
      </c>
      <c r="L9" s="16" t="b">
        <v>1</v>
      </c>
      <c r="M9" s="14">
        <f t="shared" si="1"/>
        <v>0.06958125026</v>
      </c>
    </row>
    <row r="10" ht="15.75" customHeight="1">
      <c r="A10" s="14" t="s">
        <v>13</v>
      </c>
      <c r="B10" s="14" t="s">
        <v>37</v>
      </c>
      <c r="C10" s="14">
        <v>255.645408</v>
      </c>
      <c r="D10" s="14">
        <v>100610.359588</v>
      </c>
      <c r="E10" s="14">
        <v>3483.111359</v>
      </c>
      <c r="F10" s="14">
        <v>6.744468</v>
      </c>
      <c r="G10" s="14">
        <v>89.162266</v>
      </c>
      <c r="H10" s="14">
        <v>321.334703</v>
      </c>
      <c r="I10" s="14">
        <v>0.940689705064974</v>
      </c>
      <c r="J10" s="14">
        <v>1.0</v>
      </c>
      <c r="L10" s="16" t="b">
        <v>1</v>
      </c>
      <c r="M10" s="14">
        <f t="shared" si="1"/>
        <v>0.3080498582</v>
      </c>
    </row>
    <row r="11" ht="15.75" customHeight="1">
      <c r="A11" s="14" t="s">
        <v>16</v>
      </c>
      <c r="B11" s="14" t="s">
        <v>32</v>
      </c>
      <c r="C11" s="14">
        <v>3.907448</v>
      </c>
      <c r="D11" s="14">
        <v>2314.982089</v>
      </c>
      <c r="E11" s="14">
        <v>129.07933</v>
      </c>
      <c r="F11" s="14">
        <v>3.85024</v>
      </c>
      <c r="G11" s="14">
        <v>2.090281</v>
      </c>
      <c r="H11" s="14">
        <v>24.57947</v>
      </c>
      <c r="I11" s="14">
        <v>0.894813364449721</v>
      </c>
      <c r="J11" s="14">
        <v>0.996</v>
      </c>
      <c r="L11" s="16" t="b">
        <v>1</v>
      </c>
      <c r="M11" s="14">
        <f t="shared" ref="M11:M19" si="2"> I11 - I29</f>
        <v>0.04875058468</v>
      </c>
    </row>
    <row r="12" ht="15.75" customHeight="1">
      <c r="A12" s="14" t="s">
        <v>16</v>
      </c>
      <c r="B12" s="14" t="s">
        <v>34</v>
      </c>
      <c r="C12" s="14">
        <v>4.520128</v>
      </c>
      <c r="D12" s="14">
        <v>1471.227566</v>
      </c>
      <c r="E12" s="14">
        <v>60.312497</v>
      </c>
      <c r="F12" s="14">
        <v>7.384683</v>
      </c>
      <c r="G12" s="14">
        <v>2.092101</v>
      </c>
      <c r="H12" s="14">
        <v>59.962778</v>
      </c>
      <c r="I12" s="14">
        <v>0.912150900900901</v>
      </c>
      <c r="J12" s="14">
        <v>0.777</v>
      </c>
      <c r="L12" s="16" t="b">
        <v>0</v>
      </c>
      <c r="M12" s="14">
        <f t="shared" si="2"/>
        <v>-0.07032916667</v>
      </c>
    </row>
    <row r="13" ht="15.75" customHeight="1">
      <c r="A13" s="14" t="s">
        <v>16</v>
      </c>
      <c r="B13" s="14" t="s">
        <v>35</v>
      </c>
      <c r="C13" s="14">
        <v>98.165608</v>
      </c>
      <c r="D13" s="14">
        <v>121247.643918</v>
      </c>
      <c r="E13" s="14">
        <v>3611.802882</v>
      </c>
      <c r="F13" s="14">
        <v>73.397392</v>
      </c>
      <c r="G13" s="14">
        <v>48.615023</v>
      </c>
      <c r="H13" s="14">
        <v>463.407474</v>
      </c>
      <c r="I13" s="14">
        <v>0.884479150264514</v>
      </c>
      <c r="J13" s="14">
        <v>0.919</v>
      </c>
      <c r="L13" s="16" t="b">
        <v>0</v>
      </c>
      <c r="M13" s="14">
        <f t="shared" si="2"/>
        <v>-0.004936117654</v>
      </c>
    </row>
    <row r="14" ht="15.75" customHeight="1">
      <c r="A14" s="14" t="s">
        <v>16</v>
      </c>
      <c r="B14" s="14" t="s">
        <v>36</v>
      </c>
      <c r="C14" s="14">
        <v>3.200128</v>
      </c>
      <c r="D14" s="14">
        <v>983.393637</v>
      </c>
      <c r="E14" s="14">
        <v>35.825856</v>
      </c>
      <c r="F14" s="14">
        <v>4.283679</v>
      </c>
      <c r="G14" s="14">
        <v>1.146471</v>
      </c>
      <c r="H14" s="14">
        <v>27.611243</v>
      </c>
      <c r="I14" s="14">
        <v>0.924504078947368</v>
      </c>
      <c r="J14" s="14">
        <v>0.748</v>
      </c>
      <c r="L14" s="16" t="b">
        <v>0</v>
      </c>
      <c r="M14" s="14">
        <f t="shared" si="2"/>
        <v>-0.04353578947</v>
      </c>
    </row>
    <row r="15" ht="15.75" customHeight="1">
      <c r="A15" s="14" t="s">
        <v>16</v>
      </c>
      <c r="B15" s="14" t="s">
        <v>38</v>
      </c>
      <c r="C15" s="14">
        <v>0.200128</v>
      </c>
      <c r="D15" s="14">
        <v>153.118696</v>
      </c>
      <c r="E15" s="14">
        <v>15.722396</v>
      </c>
      <c r="F15" s="14">
        <v>5.153251</v>
      </c>
      <c r="G15" s="14">
        <v>0.77662</v>
      </c>
      <c r="H15" s="14">
        <v>24.254977</v>
      </c>
      <c r="I15" s="14">
        <v>0.627470573162568</v>
      </c>
      <c r="J15" s="14">
        <v>1.0</v>
      </c>
      <c r="L15" s="16" t="b">
        <v>0</v>
      </c>
      <c r="M15" s="14">
        <f t="shared" si="2"/>
        <v>-0.06925518988</v>
      </c>
    </row>
    <row r="16" ht="15.75" customHeight="1">
      <c r="A16" s="14" t="s">
        <v>16</v>
      </c>
      <c r="B16" s="14" t="s">
        <v>39</v>
      </c>
      <c r="C16" s="14">
        <v>3.340128</v>
      </c>
      <c r="D16" s="14">
        <v>1258.885573</v>
      </c>
      <c r="E16" s="14">
        <v>50.114157</v>
      </c>
      <c r="F16" s="14">
        <v>5.616403</v>
      </c>
      <c r="G16" s="14">
        <v>1.552372</v>
      </c>
      <c r="H16" s="14">
        <v>38.96672</v>
      </c>
      <c r="I16" s="14">
        <v>0.890103561253561</v>
      </c>
      <c r="J16" s="14">
        <v>0.929</v>
      </c>
      <c r="L16" s="16" t="b">
        <v>0</v>
      </c>
      <c r="M16" s="14">
        <f t="shared" si="2"/>
        <v>-0.08013910256</v>
      </c>
    </row>
    <row r="17" ht="15.75" customHeight="1">
      <c r="A17" s="14" t="s">
        <v>16</v>
      </c>
      <c r="B17" s="14" t="s">
        <v>40</v>
      </c>
      <c r="C17" s="14">
        <v>162.039016</v>
      </c>
      <c r="D17" s="13"/>
      <c r="E17" s="13"/>
      <c r="F17" s="13"/>
      <c r="G17" s="13"/>
      <c r="H17" s="13"/>
      <c r="I17" s="13"/>
      <c r="J17" s="13"/>
      <c r="L17" s="16" t="b">
        <v>0</v>
      </c>
      <c r="M17" s="14">
        <f t="shared" si="2"/>
        <v>-0.7256691671</v>
      </c>
    </row>
    <row r="18" ht="15.75" customHeight="1">
      <c r="A18" s="14" t="s">
        <v>16</v>
      </c>
      <c r="B18" s="14" t="s">
        <v>41</v>
      </c>
      <c r="C18" s="14">
        <v>18.712096</v>
      </c>
      <c r="D18" s="14">
        <v>4022.354968</v>
      </c>
      <c r="E18" s="14">
        <v>783.27276</v>
      </c>
      <c r="F18" s="14">
        <v>2.653436</v>
      </c>
      <c r="G18" s="14">
        <v>11.194702</v>
      </c>
      <c r="H18" s="14">
        <v>107.250757</v>
      </c>
      <c r="I18" s="14">
        <v>0.949910184852131</v>
      </c>
      <c r="J18" s="14">
        <v>1.0</v>
      </c>
      <c r="L18" s="16" t="b">
        <v>1</v>
      </c>
      <c r="M18" s="14">
        <f t="shared" si="2"/>
        <v>0.06001676599</v>
      </c>
    </row>
    <row r="19" ht="15.75" customHeight="1">
      <c r="A19" s="14" t="s">
        <v>16</v>
      </c>
      <c r="B19" s="14" t="s">
        <v>37</v>
      </c>
      <c r="C19" s="14">
        <v>255.645408</v>
      </c>
      <c r="D19" s="14">
        <v>100300.165465</v>
      </c>
      <c r="E19" s="14">
        <v>3739.289605</v>
      </c>
      <c r="F19" s="14">
        <v>7.057369</v>
      </c>
      <c r="G19" s="14">
        <v>171.153944</v>
      </c>
      <c r="H19" s="14">
        <v>307.305540999999</v>
      </c>
      <c r="I19" s="14">
        <v>0.766448745947646</v>
      </c>
      <c r="J19" s="14">
        <v>1.0</v>
      </c>
      <c r="L19" s="16" t="b">
        <v>1</v>
      </c>
      <c r="M19" s="14">
        <f t="shared" si="2"/>
        <v>0.1338088991</v>
      </c>
    </row>
    <row r="20" ht="15.75" customHeight="1">
      <c r="A20" s="14" t="s">
        <v>80</v>
      </c>
      <c r="B20" s="14" t="s">
        <v>32</v>
      </c>
      <c r="C20" s="14">
        <v>3.907448</v>
      </c>
      <c r="D20" s="14">
        <v>7.370428</v>
      </c>
      <c r="E20" s="14">
        <v>40.996445</v>
      </c>
      <c r="F20" s="14">
        <v>0.169626</v>
      </c>
      <c r="G20" s="14">
        <v>1.239985</v>
      </c>
      <c r="H20" s="14">
        <v>25.325739</v>
      </c>
      <c r="I20" s="14">
        <v>0.794127775018894</v>
      </c>
      <c r="J20" s="14">
        <v>1.0</v>
      </c>
      <c r="L20" s="16" t="b">
        <v>0</v>
      </c>
      <c r="M20" s="14">
        <f t="shared" ref="M20:M28" si="3"> I20 - I29</f>
        <v>-0.05193500475</v>
      </c>
    </row>
    <row r="21" ht="15.75" customHeight="1">
      <c r="A21" s="14" t="s">
        <v>80</v>
      </c>
      <c r="B21" s="14" t="s">
        <v>34</v>
      </c>
      <c r="C21" s="14">
        <v>4.520128</v>
      </c>
      <c r="D21" s="14">
        <v>23.086832</v>
      </c>
      <c r="E21" s="14">
        <v>61.416743</v>
      </c>
      <c r="F21" s="14">
        <v>0.298763</v>
      </c>
      <c r="G21" s="14">
        <v>2.047489</v>
      </c>
      <c r="H21" s="14">
        <v>60.192136</v>
      </c>
      <c r="I21" s="14">
        <v>0.93652057057057</v>
      </c>
      <c r="J21" s="14">
        <v>0.939</v>
      </c>
      <c r="L21" s="16" t="b">
        <v>0</v>
      </c>
      <c r="M21" s="14">
        <f t="shared" si="3"/>
        <v>-0.045959497</v>
      </c>
    </row>
    <row r="22" ht="15.75" customHeight="1">
      <c r="A22" s="14" t="s">
        <v>80</v>
      </c>
      <c r="B22" s="14" t="s">
        <v>35</v>
      </c>
      <c r="C22" s="14">
        <v>98.165608</v>
      </c>
      <c r="D22" s="14">
        <v>214.864156</v>
      </c>
      <c r="E22" s="14">
        <v>1009.269257</v>
      </c>
      <c r="F22" s="14">
        <v>0.358662</v>
      </c>
      <c r="G22" s="14">
        <v>31.746223</v>
      </c>
      <c r="H22" s="14">
        <v>474.334129</v>
      </c>
      <c r="I22" s="14">
        <v>0.815803599974616</v>
      </c>
      <c r="J22" s="14">
        <v>1.0</v>
      </c>
      <c r="L22" s="16" t="b">
        <v>0</v>
      </c>
      <c r="M22" s="14">
        <f t="shared" si="3"/>
        <v>-0.07361166794</v>
      </c>
    </row>
    <row r="23" ht="15.75" customHeight="1">
      <c r="A23" s="14" t="s">
        <v>80</v>
      </c>
      <c r="B23" s="14" t="s">
        <v>36</v>
      </c>
      <c r="C23" s="14">
        <v>3.200128</v>
      </c>
      <c r="D23" s="14">
        <v>9.463954</v>
      </c>
      <c r="E23" s="14">
        <v>33.318735</v>
      </c>
      <c r="F23" s="14">
        <v>0.19316</v>
      </c>
      <c r="G23" s="14">
        <v>1.124241</v>
      </c>
      <c r="H23" s="14">
        <v>27.838249</v>
      </c>
      <c r="I23" s="14">
        <v>0.914225526315789</v>
      </c>
      <c r="J23" s="14">
        <v>0.969</v>
      </c>
      <c r="L23" s="16" t="b">
        <v>0</v>
      </c>
      <c r="M23" s="14">
        <f t="shared" si="3"/>
        <v>-0.05381434211</v>
      </c>
    </row>
    <row r="24" ht="15.75" customHeight="1">
      <c r="A24" s="14" t="s">
        <v>80</v>
      </c>
      <c r="B24" s="14" t="s">
        <v>38</v>
      </c>
      <c r="C24" s="14">
        <v>0.200128</v>
      </c>
      <c r="D24" s="14">
        <v>5.831513</v>
      </c>
      <c r="E24" s="14">
        <v>2.845928</v>
      </c>
      <c r="F24" s="14">
        <v>0.291425</v>
      </c>
      <c r="G24" s="14">
        <v>0.617056</v>
      </c>
      <c r="H24" s="14">
        <v>24.560681</v>
      </c>
      <c r="I24" s="14">
        <v>0.714315615576275</v>
      </c>
      <c r="J24" s="14">
        <v>1.0</v>
      </c>
      <c r="L24" s="16" t="b">
        <v>1</v>
      </c>
      <c r="M24" s="14">
        <f t="shared" si="3"/>
        <v>0.01758985253</v>
      </c>
    </row>
    <row r="25" ht="15.75" customHeight="1">
      <c r="A25" s="14" t="s">
        <v>80</v>
      </c>
      <c r="B25" s="14" t="s">
        <v>39</v>
      </c>
      <c r="C25" s="14">
        <v>3.340128</v>
      </c>
      <c r="D25" s="14">
        <v>16.409016</v>
      </c>
      <c r="E25" s="14">
        <v>44.900113</v>
      </c>
      <c r="F25" s="14">
        <v>0.237351</v>
      </c>
      <c r="G25" s="14">
        <v>1.420296</v>
      </c>
      <c r="H25" s="14">
        <v>38.827266</v>
      </c>
      <c r="I25" s="14">
        <v>0.906249928774928</v>
      </c>
      <c r="J25" s="14">
        <v>0.998</v>
      </c>
      <c r="L25" s="16" t="b">
        <v>0</v>
      </c>
      <c r="M25" s="14">
        <f t="shared" si="3"/>
        <v>-0.06399273504</v>
      </c>
    </row>
    <row r="26" ht="15.75" customHeight="1">
      <c r="A26" s="14" t="s">
        <v>80</v>
      </c>
      <c r="B26" s="14" t="s">
        <v>40</v>
      </c>
      <c r="C26" s="14">
        <v>162.039016</v>
      </c>
      <c r="D26" s="14">
        <v>99.881763</v>
      </c>
      <c r="E26" s="14">
        <v>1665.472329</v>
      </c>
      <c r="F26" s="14">
        <v>0.333307</v>
      </c>
      <c r="G26" s="14">
        <v>41.30665</v>
      </c>
      <c r="H26" s="14">
        <v>277.457956999999</v>
      </c>
      <c r="I26" s="14">
        <v>0.839541429942357</v>
      </c>
      <c r="J26" s="14">
        <v>1.0</v>
      </c>
      <c r="L26" s="16" t="b">
        <v>1</v>
      </c>
      <c r="M26" s="14">
        <f t="shared" si="3"/>
        <v>0.1138722628</v>
      </c>
    </row>
    <row r="27" ht="15.75" customHeight="1">
      <c r="A27" s="14" t="s">
        <v>80</v>
      </c>
      <c r="B27" s="14" t="s">
        <v>41</v>
      </c>
      <c r="C27" s="14">
        <v>18.712096</v>
      </c>
      <c r="D27" s="14">
        <v>8.493529</v>
      </c>
      <c r="E27" s="14">
        <v>192.931325</v>
      </c>
      <c r="F27" s="14">
        <v>0.450737</v>
      </c>
      <c r="G27" s="14">
        <v>4.957063</v>
      </c>
      <c r="H27" s="14">
        <v>104.682417</v>
      </c>
      <c r="I27" s="14">
        <v>0.933344685564493</v>
      </c>
      <c r="J27" s="14">
        <v>1.0</v>
      </c>
      <c r="L27" s="16" t="b">
        <v>1</v>
      </c>
      <c r="M27" s="14">
        <f t="shared" si="3"/>
        <v>0.0434512667</v>
      </c>
    </row>
    <row r="28" ht="15.75" customHeight="1">
      <c r="A28" s="14" t="s">
        <v>80</v>
      </c>
      <c r="B28" s="14" t="s">
        <v>37</v>
      </c>
      <c r="C28" s="14">
        <v>255.645408</v>
      </c>
      <c r="D28" s="14">
        <v>119.831842</v>
      </c>
      <c r="E28" s="14">
        <v>2625.796359</v>
      </c>
      <c r="F28" s="14">
        <v>0.422665</v>
      </c>
      <c r="G28" s="14">
        <v>68.566325</v>
      </c>
      <c r="H28" s="14">
        <v>313.409503999999</v>
      </c>
      <c r="I28" s="14">
        <v>0.953463125604756</v>
      </c>
      <c r="J28" s="14">
        <v>1.0</v>
      </c>
      <c r="L28" s="16" t="b">
        <v>1</v>
      </c>
      <c r="M28" s="14">
        <f t="shared" si="3"/>
        <v>0.3208232787</v>
      </c>
    </row>
    <row r="29" ht="15.75" customHeight="1">
      <c r="A29" s="14" t="s">
        <v>33</v>
      </c>
      <c r="B29" s="14" t="s">
        <v>32</v>
      </c>
      <c r="C29" s="14">
        <v>3.907448</v>
      </c>
      <c r="D29" s="14">
        <v>18.016667</v>
      </c>
      <c r="E29" s="14">
        <v>41.03898</v>
      </c>
      <c r="F29" s="14">
        <v>0.16917</v>
      </c>
      <c r="G29" s="14">
        <v>1.834246</v>
      </c>
      <c r="H29" s="14">
        <v>25.891107</v>
      </c>
      <c r="I29" s="14">
        <v>0.84606277976821</v>
      </c>
      <c r="J29" s="14">
        <v>1.0</v>
      </c>
      <c r="L29" s="16" t="b">
        <v>0</v>
      </c>
      <c r="M29" s="14">
        <f t="shared" ref="M29:M37" si="4"> I29 - I29</f>
        <v>0</v>
      </c>
    </row>
    <row r="30" ht="15.75" customHeight="1">
      <c r="A30" s="14" t="s">
        <v>33</v>
      </c>
      <c r="B30" s="14" t="s">
        <v>34</v>
      </c>
      <c r="C30" s="14">
        <v>4.520128</v>
      </c>
      <c r="D30" s="14">
        <v>37.043426</v>
      </c>
      <c r="E30" s="14">
        <v>61.430106</v>
      </c>
      <c r="F30" s="14">
        <v>0.300693</v>
      </c>
      <c r="G30" s="14">
        <v>2.790147</v>
      </c>
      <c r="H30" s="14">
        <v>61.6021109999999</v>
      </c>
      <c r="I30" s="14">
        <v>0.982480067567567</v>
      </c>
      <c r="J30" s="14">
        <v>0.965</v>
      </c>
      <c r="L30" s="16" t="b">
        <v>0</v>
      </c>
      <c r="M30" s="14">
        <f t="shared" si="4"/>
        <v>0</v>
      </c>
    </row>
    <row r="31" ht="15.75" customHeight="1">
      <c r="A31" s="14" t="s">
        <v>33</v>
      </c>
      <c r="B31" s="14" t="s">
        <v>35</v>
      </c>
      <c r="C31" s="14">
        <v>98.165608</v>
      </c>
      <c r="D31" s="14">
        <v>369.925453</v>
      </c>
      <c r="E31" s="14">
        <v>1009.282085</v>
      </c>
      <c r="F31" s="14">
        <v>0.360762</v>
      </c>
      <c r="G31" s="14">
        <v>44.007031</v>
      </c>
      <c r="H31" s="14">
        <v>476.547258</v>
      </c>
      <c r="I31" s="14">
        <v>0.889415267918273</v>
      </c>
      <c r="J31" s="14">
        <v>1.0</v>
      </c>
      <c r="L31" s="16" t="b">
        <v>0</v>
      </c>
      <c r="M31" s="14">
        <f t="shared" si="4"/>
        <v>0</v>
      </c>
    </row>
    <row r="32" ht="15.75" customHeight="1">
      <c r="A32" s="14" t="s">
        <v>33</v>
      </c>
      <c r="B32" s="14" t="s">
        <v>36</v>
      </c>
      <c r="C32" s="14">
        <v>3.200128</v>
      </c>
      <c r="D32" s="14">
        <v>16.398928</v>
      </c>
      <c r="E32" s="14">
        <v>33.328972</v>
      </c>
      <c r="F32" s="14">
        <v>0.193512</v>
      </c>
      <c r="G32" s="14">
        <v>1.504567</v>
      </c>
      <c r="H32" s="14">
        <v>27.775566</v>
      </c>
      <c r="I32" s="14">
        <v>0.968039868421052</v>
      </c>
      <c r="J32" s="14">
        <v>0.982</v>
      </c>
      <c r="L32" s="16" t="b">
        <v>0</v>
      </c>
      <c r="M32" s="14">
        <f t="shared" si="4"/>
        <v>0</v>
      </c>
    </row>
    <row r="33" ht="15.75" customHeight="1">
      <c r="A33" s="14" t="s">
        <v>33</v>
      </c>
      <c r="B33" s="14" t="s">
        <v>38</v>
      </c>
      <c r="C33" s="14">
        <v>0.200128</v>
      </c>
      <c r="D33" s="14">
        <v>10.218074</v>
      </c>
      <c r="E33" s="14">
        <v>2.854699</v>
      </c>
      <c r="F33" s="14">
        <v>0.292641</v>
      </c>
      <c r="G33" s="14">
        <v>0.63049</v>
      </c>
      <c r="H33" s="14">
        <v>23.652367</v>
      </c>
      <c r="I33" s="14">
        <v>0.69672576304207</v>
      </c>
      <c r="J33" s="14">
        <v>1.0</v>
      </c>
      <c r="L33" s="16" t="b">
        <v>0</v>
      </c>
      <c r="M33" s="14">
        <f t="shared" si="4"/>
        <v>0</v>
      </c>
    </row>
    <row r="34" ht="15.75" customHeight="1">
      <c r="A34" s="14" t="s">
        <v>33</v>
      </c>
      <c r="B34" s="14" t="s">
        <v>39</v>
      </c>
      <c r="C34" s="14">
        <v>3.340128</v>
      </c>
      <c r="D34" s="14">
        <v>25.745081</v>
      </c>
      <c r="E34" s="14">
        <v>44.890834</v>
      </c>
      <c r="F34" s="14">
        <v>0.238681</v>
      </c>
      <c r="G34" s="14">
        <v>1.951241</v>
      </c>
      <c r="H34" s="14">
        <v>38.162188</v>
      </c>
      <c r="I34" s="14">
        <v>0.970242663817664</v>
      </c>
      <c r="J34" s="14">
        <v>0.997</v>
      </c>
      <c r="L34" s="16" t="b">
        <v>0</v>
      </c>
      <c r="M34" s="14">
        <f t="shared" si="4"/>
        <v>0</v>
      </c>
    </row>
    <row r="35" ht="15.75" customHeight="1">
      <c r="A35" s="14" t="s">
        <v>33</v>
      </c>
      <c r="B35" s="14" t="s">
        <v>40</v>
      </c>
      <c r="C35" s="14">
        <v>162.039016</v>
      </c>
      <c r="D35" s="14">
        <v>278.819512</v>
      </c>
      <c r="E35" s="14">
        <v>1665.478969</v>
      </c>
      <c r="F35" s="14">
        <v>0.335143</v>
      </c>
      <c r="G35" s="14">
        <v>59.612199</v>
      </c>
      <c r="H35" s="14">
        <v>272.88507</v>
      </c>
      <c r="I35" s="14">
        <v>0.72566916711825</v>
      </c>
      <c r="J35" s="14">
        <v>1.0</v>
      </c>
      <c r="L35" s="16" t="b">
        <v>0</v>
      </c>
      <c r="M35" s="14">
        <f t="shared" si="4"/>
        <v>0</v>
      </c>
    </row>
    <row r="36" ht="15.75" customHeight="1">
      <c r="A36" s="14" t="s">
        <v>33</v>
      </c>
      <c r="B36" s="14" t="s">
        <v>41</v>
      </c>
      <c r="C36" s="14">
        <v>18.712096</v>
      </c>
      <c r="D36" s="14">
        <v>49.950842</v>
      </c>
      <c r="E36" s="14">
        <v>192.958997</v>
      </c>
      <c r="F36" s="14">
        <v>0.454225</v>
      </c>
      <c r="G36" s="14">
        <v>7.793331</v>
      </c>
      <c r="H36" s="14">
        <v>101.959868</v>
      </c>
      <c r="I36" s="14">
        <v>0.889893418861734</v>
      </c>
      <c r="J36" s="14">
        <v>1.0</v>
      </c>
      <c r="L36" s="16" t="b">
        <v>0</v>
      </c>
      <c r="M36" s="14">
        <f t="shared" si="4"/>
        <v>0</v>
      </c>
    </row>
    <row r="37" ht="15.75" customHeight="1">
      <c r="A37" s="14" t="s">
        <v>33</v>
      </c>
      <c r="B37" s="14" t="s">
        <v>37</v>
      </c>
      <c r="C37" s="14">
        <v>255.645408</v>
      </c>
      <c r="D37" s="14">
        <v>373.237209</v>
      </c>
      <c r="E37" s="14">
        <v>2625.811</v>
      </c>
      <c r="F37" s="14">
        <v>0.425605</v>
      </c>
      <c r="G37" s="14">
        <v>111.684247</v>
      </c>
      <c r="H37" s="14">
        <v>298.469962</v>
      </c>
      <c r="I37" s="14">
        <v>0.632639846861083</v>
      </c>
      <c r="J37" s="14">
        <v>1.0</v>
      </c>
      <c r="L37" s="16" t="b">
        <v>0</v>
      </c>
      <c r="M37" s="14">
        <f t="shared" si="4"/>
        <v>0</v>
      </c>
    </row>
    <row r="38" ht="15.75" customHeight="1">
      <c r="A38" s="14" t="s">
        <v>18</v>
      </c>
      <c r="B38" s="14" t="s">
        <v>32</v>
      </c>
      <c r="C38" s="14">
        <v>3.907448</v>
      </c>
      <c r="D38" s="14">
        <v>995.675674</v>
      </c>
      <c r="E38" s="14">
        <v>128.20047</v>
      </c>
      <c r="F38" s="14">
        <v>0.937158</v>
      </c>
      <c r="G38" s="14">
        <v>1.338342</v>
      </c>
      <c r="H38" s="14">
        <v>25.471986</v>
      </c>
      <c r="I38" s="14">
        <v>0.884857462677029</v>
      </c>
      <c r="J38" s="14">
        <v>1.0</v>
      </c>
      <c r="L38" s="16" t="b">
        <v>1</v>
      </c>
      <c r="M38" s="14">
        <f t="shared" ref="M38:M46" si="5"> I38 - I29</f>
        <v>0.03879468291</v>
      </c>
    </row>
    <row r="39" ht="15.75" customHeight="1">
      <c r="A39" s="14" t="s">
        <v>18</v>
      </c>
      <c r="B39" s="14" t="s">
        <v>34</v>
      </c>
      <c r="C39" s="14">
        <v>4.520128</v>
      </c>
      <c r="D39" s="14">
        <v>468.996626</v>
      </c>
      <c r="E39" s="14">
        <v>55.745239</v>
      </c>
      <c r="F39" s="14">
        <v>0.856925</v>
      </c>
      <c r="G39" s="14">
        <v>1.683701</v>
      </c>
      <c r="H39" s="14">
        <v>62.165522</v>
      </c>
      <c r="I39" s="14">
        <v>0.972282357357357</v>
      </c>
      <c r="J39" s="14">
        <v>0.514</v>
      </c>
      <c r="L39" s="16" t="b">
        <v>0</v>
      </c>
      <c r="M39" s="14">
        <f t="shared" si="5"/>
        <v>-0.01019771021</v>
      </c>
    </row>
    <row r="40" ht="15.75" customHeight="1">
      <c r="A40" s="14" t="s">
        <v>18</v>
      </c>
      <c r="B40" s="14" t="s">
        <v>35</v>
      </c>
      <c r="C40" s="14">
        <v>98.165608</v>
      </c>
      <c r="D40" s="14">
        <v>26245.855674</v>
      </c>
      <c r="E40" s="14">
        <v>3570.953555</v>
      </c>
      <c r="F40" s="14">
        <v>5.225792</v>
      </c>
      <c r="G40" s="14">
        <v>30.817869</v>
      </c>
      <c r="H40" s="14">
        <v>485.354262</v>
      </c>
      <c r="I40" s="14">
        <v>0.913848872521751</v>
      </c>
      <c r="J40" s="14">
        <v>0.957</v>
      </c>
      <c r="L40" s="16" t="b">
        <v>1</v>
      </c>
      <c r="M40" s="14">
        <f t="shared" si="5"/>
        <v>0.0244336046</v>
      </c>
    </row>
    <row r="41" ht="15.75" customHeight="1">
      <c r="A41" s="14" t="s">
        <v>18</v>
      </c>
      <c r="B41" s="14" t="s">
        <v>36</v>
      </c>
      <c r="C41" s="14">
        <v>3.200128</v>
      </c>
      <c r="D41" s="14">
        <v>457.011626</v>
      </c>
      <c r="E41" s="14">
        <v>32.616572</v>
      </c>
      <c r="F41" s="14">
        <v>0.692508</v>
      </c>
      <c r="G41" s="14">
        <v>0.965435</v>
      </c>
      <c r="H41" s="14">
        <v>28.631832</v>
      </c>
      <c r="I41" s="14">
        <v>0.961293157894736</v>
      </c>
      <c r="J41" s="14">
        <v>0.743</v>
      </c>
      <c r="L41" s="16" t="b">
        <v>0</v>
      </c>
      <c r="M41" s="14">
        <f t="shared" si="5"/>
        <v>-0.006746710526</v>
      </c>
    </row>
    <row r="42" ht="15.75" customHeight="1">
      <c r="A42" s="14" t="s">
        <v>18</v>
      </c>
      <c r="B42" s="14" t="s">
        <v>38</v>
      </c>
      <c r="C42" s="14">
        <v>0.200128</v>
      </c>
      <c r="D42" s="14">
        <v>39.082162</v>
      </c>
      <c r="E42" s="14">
        <v>15.760265</v>
      </c>
      <c r="F42" s="14">
        <v>0.843527</v>
      </c>
      <c r="G42" s="14">
        <v>0.735609</v>
      </c>
      <c r="H42" s="14">
        <v>26.927474</v>
      </c>
      <c r="I42" s="14">
        <v>0.695987504806184</v>
      </c>
      <c r="J42" s="14">
        <v>0.932</v>
      </c>
      <c r="L42" s="16" t="b">
        <v>0</v>
      </c>
      <c r="M42" s="14">
        <f t="shared" si="5"/>
        <v>-0.0007382582359</v>
      </c>
    </row>
    <row r="43" ht="15.75" customHeight="1">
      <c r="A43" s="14" t="s">
        <v>18</v>
      </c>
      <c r="B43" s="14" t="s">
        <v>39</v>
      </c>
      <c r="C43" s="14">
        <v>3.340128</v>
      </c>
      <c r="D43" s="14">
        <v>446.521891</v>
      </c>
      <c r="E43" s="14">
        <v>46.766004</v>
      </c>
      <c r="F43" s="14">
        <v>0.767688</v>
      </c>
      <c r="G43" s="14">
        <v>1.303873</v>
      </c>
      <c r="H43" s="14">
        <v>40.311753</v>
      </c>
      <c r="I43" s="14">
        <v>0.920168162393162</v>
      </c>
      <c r="J43" s="14">
        <v>0.941</v>
      </c>
      <c r="L43" s="16" t="b">
        <v>0</v>
      </c>
      <c r="M43" s="14">
        <f t="shared" si="5"/>
        <v>-0.05007450142</v>
      </c>
    </row>
    <row r="44" ht="15.75" customHeight="1">
      <c r="A44" s="14" t="s">
        <v>18</v>
      </c>
      <c r="B44" s="14" t="s">
        <v>40</v>
      </c>
      <c r="C44" s="14">
        <v>162.039016</v>
      </c>
      <c r="D44" s="14">
        <v>38311.652012</v>
      </c>
      <c r="E44" s="14">
        <v>2657.160525</v>
      </c>
      <c r="F44" s="14">
        <v>8.049489</v>
      </c>
      <c r="G44" s="14">
        <v>63.251776</v>
      </c>
      <c r="H44" s="14">
        <v>278.383287</v>
      </c>
      <c r="I44" s="14">
        <v>0.871115883051624</v>
      </c>
      <c r="J44" s="14">
        <v>0.962</v>
      </c>
      <c r="L44" s="16" t="b">
        <v>1</v>
      </c>
      <c r="M44" s="14">
        <f t="shared" si="5"/>
        <v>0.1454467159</v>
      </c>
    </row>
    <row r="45" ht="15.75" customHeight="1">
      <c r="A45" s="14" t="s">
        <v>18</v>
      </c>
      <c r="B45" s="14" t="s">
        <v>41</v>
      </c>
      <c r="C45" s="14">
        <v>18.712096</v>
      </c>
      <c r="D45" s="14">
        <v>2906.38651</v>
      </c>
      <c r="E45" s="14">
        <v>271.971459</v>
      </c>
      <c r="F45" s="14">
        <v>1.852811</v>
      </c>
      <c r="G45" s="14">
        <v>5.997912</v>
      </c>
      <c r="H45" s="14">
        <v>97.436519</v>
      </c>
      <c r="I45" s="14">
        <v>0.915253671065799</v>
      </c>
      <c r="J45" s="14">
        <v>1.0</v>
      </c>
      <c r="L45" s="16" t="b">
        <v>1</v>
      </c>
      <c r="M45" s="14">
        <f t="shared" si="5"/>
        <v>0.0253602522</v>
      </c>
    </row>
    <row r="46" ht="15.75" customHeight="1">
      <c r="A46" s="14" t="s">
        <v>18</v>
      </c>
      <c r="B46" s="14" t="s">
        <v>37</v>
      </c>
      <c r="C46" s="14">
        <v>255.645408</v>
      </c>
      <c r="D46" s="14">
        <v>52681.625463</v>
      </c>
      <c r="E46" s="14">
        <v>3483.13211</v>
      </c>
      <c r="F46" s="14">
        <v>9.56187</v>
      </c>
      <c r="G46" s="14">
        <v>68.155652</v>
      </c>
      <c r="H46" s="14">
        <v>314.825924</v>
      </c>
      <c r="I46" s="14">
        <v>0.940890148606724</v>
      </c>
      <c r="J46" s="14">
        <v>1.0</v>
      </c>
      <c r="L46" s="16" t="b">
        <v>1</v>
      </c>
      <c r="M46" s="14">
        <f t="shared" si="5"/>
        <v>0.3082503017</v>
      </c>
    </row>
    <row r="47" ht="15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L47" s="16"/>
      <c r="M47" s="13"/>
    </row>
    <row r="48" ht="15.75" customHeight="1">
      <c r="A48" s="13"/>
      <c r="B48" s="13"/>
      <c r="C48" s="13"/>
      <c r="D48" s="13"/>
      <c r="E48" s="13"/>
      <c r="F48" s="13"/>
      <c r="G48" s="13"/>
      <c r="H48" s="13"/>
      <c r="I48" s="13"/>
      <c r="J48" s="13"/>
      <c r="L48" s="16"/>
      <c r="M48" s="13"/>
    </row>
    <row r="49" ht="15.75" customHeight="1">
      <c r="A49" s="13"/>
      <c r="B49" s="13"/>
      <c r="C49" s="13"/>
      <c r="D49" s="13"/>
      <c r="E49" s="13"/>
      <c r="F49" s="13"/>
      <c r="G49" s="13"/>
      <c r="H49" s="13"/>
      <c r="I49" s="13"/>
      <c r="J49" s="13"/>
      <c r="L49" s="16"/>
      <c r="M49" s="13"/>
    </row>
    <row r="50" ht="15.75" customHeight="1">
      <c r="A50" s="13"/>
      <c r="B50" s="13"/>
      <c r="C50" s="13"/>
      <c r="D50" s="13"/>
      <c r="E50" s="13"/>
      <c r="F50" s="13"/>
      <c r="G50" s="13"/>
      <c r="H50" s="13"/>
      <c r="I50" s="13"/>
      <c r="J50" s="13"/>
      <c r="L50" s="16"/>
      <c r="M50" s="13"/>
    </row>
    <row r="51" ht="15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L51" s="16"/>
      <c r="M51" s="13"/>
    </row>
    <row r="52" ht="15.7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L52" s="16"/>
      <c r="M52" s="13"/>
    </row>
    <row r="53" ht="15.75" customHeight="1">
      <c r="A53" s="13"/>
      <c r="B53" s="13"/>
      <c r="C53" s="13"/>
      <c r="D53" s="13"/>
      <c r="E53" s="13"/>
      <c r="F53" s="13"/>
      <c r="G53" s="13"/>
      <c r="H53" s="13"/>
      <c r="I53" s="13"/>
      <c r="J53" s="13"/>
      <c r="L53" s="16"/>
      <c r="M53" s="13"/>
    </row>
    <row r="54" ht="15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L54" s="16"/>
      <c r="M54" s="13"/>
    </row>
    <row r="55" ht="15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L55" s="16"/>
      <c r="M55" s="13"/>
    </row>
    <row r="56" ht="15.75" customHeight="1">
      <c r="A56" s="13"/>
      <c r="B56" s="13"/>
      <c r="C56" s="13"/>
      <c r="D56" s="13"/>
      <c r="E56" s="13"/>
      <c r="F56" s="13"/>
      <c r="G56" s="13"/>
      <c r="H56" s="13"/>
      <c r="I56" s="13"/>
      <c r="J56" s="13"/>
      <c r="L56" s="16"/>
      <c r="M56" s="13"/>
    </row>
    <row r="57" ht="15.75" customHeight="1">
      <c r="A57" s="13"/>
      <c r="B57" s="13"/>
      <c r="C57" s="13"/>
      <c r="D57" s="13"/>
      <c r="E57" s="13"/>
      <c r="F57" s="13"/>
      <c r="G57" s="13"/>
      <c r="H57" s="13"/>
      <c r="I57" s="13"/>
      <c r="J57" s="13"/>
      <c r="L57" s="16"/>
      <c r="M57" s="13"/>
    </row>
    <row r="58" ht="15.75" customHeight="1">
      <c r="A58" s="13"/>
      <c r="B58" s="13"/>
      <c r="C58" s="13"/>
      <c r="D58" s="13"/>
      <c r="E58" s="13"/>
      <c r="F58" s="13"/>
      <c r="G58" s="13"/>
      <c r="H58" s="13"/>
      <c r="I58" s="13"/>
      <c r="J58" s="13"/>
      <c r="L58" s="16"/>
      <c r="M58" s="13"/>
    </row>
    <row r="59" ht="15.75" customHeight="1">
      <c r="A59" s="13"/>
      <c r="B59" s="13"/>
      <c r="C59" s="13"/>
      <c r="D59" s="13"/>
      <c r="E59" s="13"/>
      <c r="F59" s="13"/>
      <c r="G59" s="13"/>
      <c r="H59" s="13"/>
      <c r="I59" s="13"/>
      <c r="J59" s="13"/>
      <c r="L59" s="16"/>
      <c r="M59" s="13"/>
    </row>
    <row r="60" ht="15.75" customHeight="1">
      <c r="A60" s="13"/>
      <c r="B60" s="13"/>
      <c r="C60" s="13"/>
      <c r="D60" s="13"/>
      <c r="E60" s="13"/>
      <c r="F60" s="13"/>
      <c r="G60" s="13"/>
      <c r="H60" s="13"/>
      <c r="I60" s="13"/>
      <c r="J60" s="13"/>
      <c r="L60" s="16"/>
      <c r="M60" s="13"/>
    </row>
    <row r="61" ht="15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L61" s="16"/>
      <c r="M61" s="13"/>
    </row>
    <row r="62" ht="15.75" customHeight="1">
      <c r="A62" s="13"/>
      <c r="B62" s="13"/>
      <c r="C62" s="13"/>
      <c r="D62" s="13"/>
      <c r="E62" s="13"/>
      <c r="F62" s="13"/>
      <c r="G62" s="13"/>
      <c r="H62" s="13"/>
      <c r="I62" s="13"/>
      <c r="J62" s="13"/>
      <c r="L62" s="16"/>
      <c r="M62" s="13"/>
    </row>
    <row r="63" ht="15.75" customHeight="1">
      <c r="A63" s="13"/>
      <c r="B63" s="13"/>
      <c r="C63" s="13"/>
      <c r="D63" s="13"/>
      <c r="E63" s="13"/>
      <c r="F63" s="13"/>
      <c r="G63" s="13"/>
      <c r="H63" s="13"/>
      <c r="I63" s="13"/>
      <c r="J63" s="13"/>
      <c r="L63" s="16"/>
      <c r="M63" s="13"/>
    </row>
    <row r="64" ht="15.75" customHeight="1">
      <c r="A64" s="13"/>
      <c r="B64" s="13"/>
      <c r="C64" s="13"/>
      <c r="D64" s="13"/>
      <c r="E64" s="13"/>
      <c r="F64" s="13"/>
      <c r="G64" s="13"/>
      <c r="H64" s="13"/>
      <c r="I64" s="13"/>
      <c r="J64" s="13"/>
      <c r="L64" s="16"/>
      <c r="M64" s="13"/>
    </row>
    <row r="65" ht="15.75" customHeight="1">
      <c r="A65" s="13"/>
      <c r="B65" s="13"/>
      <c r="C65" s="13"/>
      <c r="D65" s="13"/>
      <c r="E65" s="13"/>
      <c r="F65" s="13"/>
      <c r="G65" s="13"/>
      <c r="H65" s="13"/>
      <c r="I65" s="13"/>
      <c r="J65" s="13"/>
      <c r="L65" s="16"/>
      <c r="M65" s="13"/>
    </row>
    <row r="66" ht="15.75" customHeight="1">
      <c r="A66" s="13"/>
      <c r="B66" s="13"/>
      <c r="C66" s="13"/>
      <c r="D66" s="13"/>
      <c r="E66" s="13"/>
      <c r="F66" s="13"/>
      <c r="G66" s="13"/>
      <c r="H66" s="13"/>
      <c r="I66" s="13"/>
      <c r="J66" s="13"/>
      <c r="L66" s="16"/>
      <c r="M66" s="13"/>
    </row>
    <row r="67" ht="15.75" customHeight="1">
      <c r="A67" s="13"/>
      <c r="B67" s="13"/>
      <c r="C67" s="13"/>
      <c r="D67" s="13"/>
      <c r="E67" s="13"/>
      <c r="F67" s="13"/>
      <c r="G67" s="13"/>
      <c r="H67" s="13"/>
      <c r="I67" s="13"/>
      <c r="J67" s="13"/>
      <c r="L67" s="16"/>
      <c r="M67" s="13"/>
    </row>
    <row r="68" ht="15.75" customHeight="1">
      <c r="A68" s="13"/>
      <c r="B68" s="13"/>
      <c r="C68" s="13"/>
      <c r="D68" s="13"/>
      <c r="E68" s="13"/>
      <c r="F68" s="13"/>
      <c r="G68" s="13"/>
      <c r="H68" s="13"/>
      <c r="I68" s="13"/>
      <c r="J68" s="13"/>
      <c r="L68" s="16"/>
      <c r="M68" s="13"/>
    </row>
    <row r="69" ht="15.75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L69" s="16"/>
      <c r="M69" s="13"/>
    </row>
    <row r="70" ht="15.75" customHeight="1">
      <c r="A70" s="13"/>
      <c r="B70" s="13"/>
      <c r="C70" s="13"/>
      <c r="D70" s="13"/>
      <c r="E70" s="13"/>
      <c r="F70" s="13"/>
      <c r="G70" s="13"/>
      <c r="H70" s="13"/>
      <c r="I70" s="13"/>
      <c r="J70" s="13"/>
      <c r="L70" s="16"/>
      <c r="M70" s="13"/>
    </row>
    <row r="71" ht="15.75" customHeight="1">
      <c r="A71" s="13"/>
      <c r="B71" s="13"/>
      <c r="C71" s="13"/>
      <c r="D71" s="13"/>
      <c r="E71" s="13"/>
      <c r="F71" s="13"/>
      <c r="G71" s="13"/>
      <c r="H71" s="13"/>
      <c r="I71" s="13"/>
      <c r="J71" s="13"/>
      <c r="L71" s="16"/>
      <c r="M71" s="13"/>
    </row>
    <row r="72" ht="15.75" customHeight="1">
      <c r="A72" s="13"/>
      <c r="B72" s="13"/>
      <c r="C72" s="13"/>
      <c r="D72" s="13"/>
      <c r="E72" s="13"/>
      <c r="F72" s="13"/>
      <c r="G72" s="13"/>
      <c r="H72" s="13"/>
      <c r="I72" s="13"/>
      <c r="J72" s="13"/>
      <c r="L72" s="16"/>
      <c r="M72" s="13"/>
    </row>
    <row r="73" ht="15.75" customHeight="1">
      <c r="A73" s="13"/>
      <c r="B73" s="13"/>
      <c r="C73" s="13"/>
      <c r="D73" s="13"/>
      <c r="E73" s="13"/>
      <c r="F73" s="13"/>
      <c r="G73" s="13"/>
      <c r="H73" s="13"/>
      <c r="I73" s="13"/>
      <c r="J73" s="13"/>
      <c r="L73" s="16"/>
      <c r="M73" s="13"/>
    </row>
    <row r="74" ht="15.75" customHeight="1">
      <c r="A74" s="13"/>
      <c r="B74" s="13"/>
      <c r="C74" s="13"/>
      <c r="D74" s="13"/>
      <c r="E74" s="13"/>
      <c r="F74" s="13"/>
      <c r="G74" s="13"/>
      <c r="H74" s="13"/>
      <c r="I74" s="13"/>
      <c r="J74" s="13"/>
      <c r="L74" s="16"/>
      <c r="M74" s="13"/>
    </row>
    <row r="75" ht="15.75" customHeight="1">
      <c r="A75" s="13"/>
      <c r="B75" s="13"/>
      <c r="C75" s="13"/>
      <c r="D75" s="13"/>
      <c r="E75" s="13"/>
      <c r="F75" s="13"/>
      <c r="G75" s="13"/>
      <c r="H75" s="13"/>
      <c r="I75" s="13"/>
      <c r="J75" s="13"/>
      <c r="L75" s="16"/>
      <c r="M75" s="13"/>
    </row>
    <row r="76" ht="15.75" customHeight="1">
      <c r="A76" s="13"/>
      <c r="B76" s="13"/>
      <c r="C76" s="13"/>
      <c r="D76" s="13"/>
      <c r="E76" s="13"/>
      <c r="F76" s="13"/>
      <c r="G76" s="13"/>
      <c r="H76" s="13"/>
      <c r="I76" s="13"/>
      <c r="J76" s="13"/>
      <c r="L76" s="16"/>
      <c r="M76" s="13"/>
    </row>
    <row r="77" ht="15.75" customHeight="1">
      <c r="A77" s="13"/>
      <c r="B77" s="13"/>
      <c r="C77" s="13"/>
      <c r="D77" s="13"/>
      <c r="E77" s="13"/>
      <c r="F77" s="13"/>
      <c r="G77" s="13"/>
      <c r="H77" s="13"/>
      <c r="I77" s="13"/>
      <c r="J77" s="13"/>
      <c r="L77" s="16"/>
      <c r="M77" s="13"/>
    </row>
    <row r="78" ht="15.75" customHeight="1">
      <c r="A78" s="13"/>
      <c r="B78" s="13"/>
      <c r="C78" s="13"/>
      <c r="D78" s="13"/>
      <c r="E78" s="13"/>
      <c r="F78" s="13"/>
      <c r="G78" s="13"/>
      <c r="H78" s="13"/>
      <c r="I78" s="13"/>
      <c r="J78" s="13"/>
      <c r="L78" s="16"/>
      <c r="M78" s="13"/>
    </row>
    <row r="79" ht="15.75" customHeight="1">
      <c r="A79" s="13"/>
      <c r="B79" s="13"/>
      <c r="C79" s="13"/>
      <c r="D79" s="13"/>
      <c r="E79" s="13"/>
      <c r="F79" s="13"/>
      <c r="G79" s="13"/>
      <c r="H79" s="13"/>
      <c r="I79" s="13"/>
      <c r="J79" s="13"/>
      <c r="L79" s="16"/>
      <c r="M79" s="13"/>
    </row>
    <row r="80" ht="15.75" customHeight="1">
      <c r="A80" s="13"/>
      <c r="B80" s="13"/>
      <c r="C80" s="13"/>
      <c r="D80" s="13"/>
      <c r="E80" s="13"/>
      <c r="F80" s="13"/>
      <c r="G80" s="13"/>
      <c r="H80" s="13"/>
      <c r="I80" s="13"/>
      <c r="J80" s="13"/>
      <c r="L80" s="16"/>
      <c r="M80" s="13"/>
    </row>
    <row r="81" ht="15.75" customHeight="1">
      <c r="A81" s="13"/>
      <c r="B81" s="13"/>
      <c r="C81" s="13"/>
      <c r="D81" s="13"/>
      <c r="E81" s="13"/>
      <c r="F81" s="13"/>
      <c r="G81" s="13"/>
      <c r="H81" s="13"/>
      <c r="I81" s="13"/>
      <c r="J81" s="13"/>
      <c r="L81" s="16"/>
      <c r="M81" s="13"/>
    </row>
    <row r="82" ht="15.75" customHeight="1">
      <c r="A82" s="13"/>
      <c r="B82" s="13"/>
      <c r="C82" s="13"/>
      <c r="D82" s="13"/>
      <c r="E82" s="13"/>
      <c r="F82" s="13"/>
      <c r="G82" s="13"/>
      <c r="H82" s="13"/>
      <c r="I82" s="13"/>
      <c r="J82" s="13"/>
      <c r="L82" s="16"/>
      <c r="M82" s="13"/>
    </row>
    <row r="83" ht="15.75" customHeight="1">
      <c r="A83" s="13"/>
      <c r="B83" s="13"/>
      <c r="C83" s="13"/>
      <c r="D83" s="13"/>
      <c r="E83" s="13"/>
      <c r="F83" s="13"/>
      <c r="G83" s="13"/>
      <c r="H83" s="13"/>
      <c r="I83" s="13"/>
      <c r="J83" s="13"/>
      <c r="L83" s="16"/>
      <c r="M83" s="13"/>
    </row>
    <row r="84" ht="15.75" customHeight="1">
      <c r="A84" s="13"/>
      <c r="B84" s="13"/>
      <c r="C84" s="13"/>
      <c r="D84" s="13"/>
      <c r="E84" s="13"/>
      <c r="F84" s="13"/>
      <c r="G84" s="13"/>
      <c r="H84" s="13"/>
      <c r="I84" s="13"/>
      <c r="J84" s="13"/>
      <c r="L84" s="16"/>
      <c r="M84" s="13"/>
    </row>
    <row r="85" ht="15.75" customHeight="1">
      <c r="A85" s="13"/>
      <c r="B85" s="13"/>
      <c r="C85" s="13"/>
      <c r="D85" s="13"/>
      <c r="E85" s="13"/>
      <c r="F85" s="13"/>
      <c r="G85" s="13"/>
      <c r="H85" s="13"/>
      <c r="I85" s="13"/>
      <c r="J85" s="13"/>
      <c r="L85" s="16"/>
      <c r="M85" s="13"/>
    </row>
    <row r="86" ht="15.75" customHeight="1">
      <c r="A86" s="13"/>
      <c r="B86" s="13"/>
      <c r="C86" s="13"/>
      <c r="D86" s="13"/>
      <c r="E86" s="13"/>
      <c r="F86" s="13"/>
      <c r="G86" s="13"/>
      <c r="H86" s="13"/>
      <c r="I86" s="13"/>
      <c r="J86" s="13"/>
      <c r="L86" s="16"/>
      <c r="M86" s="13"/>
    </row>
    <row r="87" ht="15.75" customHeight="1">
      <c r="A87" s="13"/>
      <c r="B87" s="13"/>
      <c r="C87" s="13"/>
      <c r="D87" s="13"/>
      <c r="E87" s="13"/>
      <c r="F87" s="13"/>
      <c r="G87" s="13"/>
      <c r="H87" s="13"/>
      <c r="I87" s="13"/>
      <c r="J87" s="13"/>
      <c r="L87" s="16"/>
      <c r="M87" s="13"/>
    </row>
    <row r="88" ht="15.75" customHeight="1">
      <c r="A88" s="13"/>
      <c r="B88" s="13"/>
      <c r="C88" s="13"/>
      <c r="D88" s="13"/>
      <c r="E88" s="13"/>
      <c r="F88" s="13"/>
      <c r="G88" s="13"/>
      <c r="H88" s="13"/>
      <c r="I88" s="13"/>
      <c r="J88" s="13"/>
      <c r="L88" s="16"/>
      <c r="M88" s="13"/>
    </row>
    <row r="89" ht="15.75" customHeight="1">
      <c r="A89" s="13"/>
      <c r="B89" s="13"/>
      <c r="C89" s="13"/>
      <c r="D89" s="13"/>
      <c r="E89" s="13"/>
      <c r="F89" s="13"/>
      <c r="G89" s="13"/>
      <c r="H89" s="13"/>
      <c r="I89" s="13"/>
      <c r="J89" s="13"/>
      <c r="L89" s="16"/>
      <c r="M89" s="13"/>
    </row>
    <row r="90" ht="15.75" customHeight="1">
      <c r="A90" s="13"/>
      <c r="B90" s="13"/>
      <c r="C90" s="13"/>
      <c r="D90" s="13"/>
      <c r="E90" s="13"/>
      <c r="F90" s="13"/>
      <c r="G90" s="13"/>
      <c r="H90" s="13"/>
      <c r="I90" s="13"/>
      <c r="J90" s="13"/>
      <c r="L90" s="16"/>
      <c r="M90" s="13"/>
    </row>
    <row r="91" ht="15.75" customHeight="1">
      <c r="A91" s="13"/>
      <c r="B91" s="13"/>
      <c r="C91" s="13"/>
      <c r="D91" s="13"/>
      <c r="E91" s="13"/>
      <c r="F91" s="13"/>
      <c r="G91" s="13"/>
      <c r="H91" s="13"/>
      <c r="I91" s="13"/>
      <c r="J91" s="13"/>
      <c r="L91" s="16"/>
      <c r="M91" s="13"/>
    </row>
    <row r="92" ht="15.75" customHeight="1">
      <c r="A92" s="13"/>
      <c r="B92" s="13"/>
      <c r="C92" s="13"/>
      <c r="D92" s="13"/>
      <c r="E92" s="13"/>
      <c r="F92" s="13"/>
      <c r="G92" s="13"/>
      <c r="H92" s="13"/>
      <c r="I92" s="13"/>
      <c r="J92" s="13"/>
      <c r="L92" s="16"/>
      <c r="M92" s="13"/>
    </row>
    <row r="93" ht="15.75" customHeight="1">
      <c r="A93" s="13"/>
      <c r="B93" s="13"/>
      <c r="C93" s="13"/>
      <c r="D93" s="13"/>
      <c r="E93" s="13"/>
      <c r="F93" s="13"/>
      <c r="G93" s="13"/>
      <c r="H93" s="13"/>
      <c r="I93" s="13"/>
      <c r="J93" s="13"/>
      <c r="L93" s="16"/>
      <c r="M93" s="13"/>
    </row>
    <row r="94" ht="15.75" customHeight="1">
      <c r="A94" s="13"/>
      <c r="B94" s="13"/>
      <c r="C94" s="13"/>
      <c r="D94" s="13"/>
      <c r="E94" s="13"/>
      <c r="F94" s="13"/>
      <c r="G94" s="13"/>
      <c r="H94" s="13"/>
      <c r="I94" s="13"/>
      <c r="J94" s="13"/>
      <c r="L94" s="16"/>
      <c r="M94" s="13"/>
    </row>
    <row r="95" ht="15.75" customHeight="1">
      <c r="A95" s="13"/>
      <c r="B95" s="13"/>
      <c r="C95" s="13"/>
      <c r="D95" s="13"/>
      <c r="E95" s="13"/>
      <c r="F95" s="13"/>
      <c r="G95" s="13"/>
      <c r="H95" s="13"/>
      <c r="I95" s="13"/>
      <c r="J95" s="13"/>
      <c r="L95" s="16"/>
      <c r="M95" s="13"/>
    </row>
    <row r="96" ht="15.75" customHeight="1">
      <c r="A96" s="13"/>
      <c r="B96" s="13"/>
      <c r="C96" s="13"/>
      <c r="D96" s="13"/>
      <c r="E96" s="13"/>
      <c r="F96" s="13"/>
      <c r="G96" s="13"/>
      <c r="H96" s="13"/>
      <c r="I96" s="13"/>
      <c r="J96" s="13"/>
      <c r="L96" s="16"/>
      <c r="M96" s="13"/>
    </row>
    <row r="97" ht="15.75" customHeight="1">
      <c r="A97" s="13"/>
      <c r="B97" s="13"/>
      <c r="C97" s="13"/>
      <c r="D97" s="13"/>
      <c r="E97" s="13"/>
      <c r="F97" s="13"/>
      <c r="G97" s="13"/>
      <c r="H97" s="13"/>
      <c r="I97" s="13"/>
      <c r="J97" s="13"/>
      <c r="L97" s="16"/>
      <c r="M97" s="13"/>
    </row>
    <row r="98" ht="15.75" customHeight="1">
      <c r="A98" s="13"/>
      <c r="B98" s="13"/>
      <c r="C98" s="13"/>
      <c r="D98" s="13"/>
      <c r="E98" s="13"/>
      <c r="F98" s="13"/>
      <c r="G98" s="13"/>
      <c r="H98" s="13"/>
      <c r="I98" s="13"/>
      <c r="J98" s="13"/>
      <c r="L98" s="16"/>
      <c r="M98" s="13"/>
    </row>
    <row r="99" ht="15.75" customHeight="1">
      <c r="A99" s="13"/>
      <c r="B99" s="13"/>
      <c r="C99" s="13"/>
      <c r="D99" s="13"/>
      <c r="E99" s="13"/>
      <c r="F99" s="13"/>
      <c r="G99" s="13"/>
      <c r="H99" s="13"/>
      <c r="I99" s="13"/>
      <c r="J99" s="13"/>
      <c r="L99" s="16"/>
      <c r="M99" s="13"/>
    </row>
    <row r="100" ht="15.75" customHeight="1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L100" s="16"/>
      <c r="M100" s="13"/>
    </row>
    <row r="101" ht="15.75" customHeight="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L101" s="16"/>
      <c r="M101" s="13"/>
    </row>
    <row r="102" ht="15.75" customHeight="1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L102" s="16"/>
      <c r="M102" s="13"/>
    </row>
    <row r="103" ht="15.75" customHeight="1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L103" s="16"/>
      <c r="M103" s="13"/>
    </row>
    <row r="104" ht="15.75" customHeight="1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L104" s="16"/>
      <c r="M104" s="13"/>
    </row>
    <row r="105" ht="15.75" customHeight="1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L105" s="16"/>
      <c r="M105" s="13"/>
    </row>
    <row r="106" ht="15.75" customHeight="1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L106" s="16"/>
      <c r="M106" s="13"/>
    </row>
    <row r="107" ht="15.75" customHeight="1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L107" s="16"/>
      <c r="M107" s="13"/>
    </row>
    <row r="108" ht="15.75" customHeight="1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L108" s="16"/>
      <c r="M108" s="13"/>
    </row>
    <row r="109" ht="15.75" customHeight="1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L109" s="16"/>
      <c r="M109" s="13"/>
    </row>
    <row r="110" ht="15.75" customHeight="1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L110" s="16"/>
      <c r="M110" s="13"/>
    </row>
    <row r="111" ht="15.75" customHeight="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L111" s="16"/>
      <c r="M111" s="13"/>
    </row>
    <row r="112" ht="15.75" customHeight="1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L112" s="16"/>
      <c r="M112" s="13"/>
    </row>
    <row r="113" ht="15.75" customHeight="1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L113" s="16"/>
      <c r="M113" s="13"/>
    </row>
    <row r="114" ht="15.75" customHeight="1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L114" s="16"/>
      <c r="M114" s="13"/>
    </row>
    <row r="115" ht="15.75" customHeight="1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L115" s="16"/>
      <c r="M115" s="13"/>
    </row>
    <row r="116" ht="15.75" customHeight="1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L116" s="16"/>
      <c r="M116" s="13"/>
    </row>
    <row r="117" ht="15.75" customHeight="1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L117" s="16"/>
      <c r="M117" s="13"/>
    </row>
    <row r="118" ht="15.75" customHeight="1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L118" s="16"/>
      <c r="M118" s="13"/>
    </row>
    <row r="119" ht="15.75" customHeight="1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L119" s="16"/>
      <c r="M119" s="13"/>
    </row>
    <row r="120" ht="15.75" customHeight="1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L120" s="16"/>
      <c r="M120" s="13"/>
    </row>
    <row r="121" ht="15.75" customHeight="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L121" s="16"/>
      <c r="M121" s="13"/>
    </row>
    <row r="122" ht="15.75" customHeight="1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L122" s="16"/>
      <c r="M122" s="13"/>
    </row>
    <row r="123" ht="15.75" customHeight="1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L123" s="16"/>
      <c r="M123" s="13"/>
    </row>
    <row r="124" ht="15.75" customHeight="1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L124" s="16"/>
      <c r="M124" s="13"/>
    </row>
    <row r="125" ht="15.75" customHeight="1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L125" s="16"/>
      <c r="M125" s="13"/>
    </row>
    <row r="126" ht="15.75" customHeight="1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L126" s="16"/>
      <c r="M126" s="13"/>
    </row>
    <row r="127" ht="15.75" customHeight="1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L127" s="16"/>
      <c r="M127" s="13"/>
    </row>
    <row r="128" ht="15.75" customHeight="1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L128" s="16"/>
      <c r="M128" s="13"/>
    </row>
    <row r="129" ht="15.75" customHeight="1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L129" s="16"/>
      <c r="M129" s="13"/>
    </row>
    <row r="130" ht="15.75" customHeight="1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L130" s="16"/>
      <c r="M130" s="13"/>
    </row>
    <row r="131" ht="15.75" customHeight="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L131" s="16"/>
      <c r="M131" s="13"/>
    </row>
    <row r="132" ht="15.75" customHeight="1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L132" s="16"/>
      <c r="M132" s="13"/>
    </row>
    <row r="133" ht="15.75" customHeight="1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L133" s="16"/>
      <c r="M133" s="13"/>
    </row>
    <row r="134" ht="15.75" customHeight="1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L134" s="16"/>
      <c r="M134" s="13"/>
    </row>
    <row r="135" ht="15.75" customHeight="1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L135" s="16"/>
      <c r="M135" s="13"/>
    </row>
    <row r="136" ht="15.75" customHeight="1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L136" s="16"/>
      <c r="M136" s="13"/>
    </row>
    <row r="137" ht="15.75" customHeight="1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L137" s="16"/>
      <c r="M137" s="13"/>
    </row>
    <row r="138" ht="15.75" customHeight="1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L138" s="16"/>
      <c r="M138" s="13"/>
    </row>
    <row r="139" ht="15.75" customHeight="1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L139" s="16"/>
      <c r="M139" s="13"/>
    </row>
    <row r="140" ht="15.75" customHeight="1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L140" s="16"/>
      <c r="M140" s="13"/>
    </row>
    <row r="141" ht="15.75" customHeight="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L141" s="16"/>
      <c r="M141" s="13"/>
    </row>
    <row r="142" ht="15.75" customHeight="1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L142" s="16"/>
      <c r="M142" s="13"/>
    </row>
    <row r="143" ht="15.75" customHeight="1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L143" s="16"/>
      <c r="M143" s="13"/>
    </row>
    <row r="144" ht="15.75" customHeight="1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L144" s="16"/>
      <c r="M144" s="13"/>
    </row>
    <row r="145" ht="15.75" customHeight="1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L145" s="16"/>
      <c r="M145" s="13"/>
    </row>
    <row r="146" ht="15.75" customHeight="1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L146" s="16"/>
      <c r="M146" s="13"/>
    </row>
    <row r="147" ht="15.75" customHeight="1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L147" s="16"/>
      <c r="M147" s="13"/>
    </row>
    <row r="148" ht="15.75" customHeight="1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L148" s="16"/>
      <c r="M148" s="13"/>
    </row>
    <row r="149" ht="15.75" customHeight="1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L149" s="16"/>
      <c r="M149" s="13"/>
    </row>
    <row r="150" ht="15.75" customHeight="1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L150" s="16"/>
      <c r="M150" s="13"/>
    </row>
    <row r="151" ht="15.75" customHeight="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L151" s="16"/>
      <c r="M151" s="13"/>
    </row>
    <row r="152" ht="15.75" customHeight="1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L152" s="16"/>
      <c r="M152" s="13"/>
    </row>
    <row r="153" ht="15.75" customHeight="1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L153" s="16"/>
      <c r="M153" s="13"/>
    </row>
    <row r="154" ht="15.75" customHeight="1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L154" s="16"/>
      <c r="M154" s="13"/>
    </row>
    <row r="155" ht="15.75" customHeight="1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L155" s="16"/>
      <c r="M155" s="13"/>
    </row>
    <row r="156" ht="15.75" customHeight="1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L156" s="16"/>
      <c r="M156" s="13"/>
    </row>
    <row r="157" ht="15.75" customHeight="1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L157" s="16"/>
      <c r="M157" s="13"/>
    </row>
    <row r="158" ht="15.75" customHeight="1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L158" s="16"/>
      <c r="M158" s="13"/>
    </row>
    <row r="159" ht="15.75" customHeight="1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L159" s="16"/>
      <c r="M159" s="13"/>
    </row>
    <row r="160" ht="15.75" customHeight="1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L160" s="16"/>
      <c r="M160" s="13"/>
    </row>
    <row r="161" ht="15.75" customHeight="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L161" s="16"/>
      <c r="M161" s="13"/>
    </row>
    <row r="162" ht="15.75" customHeight="1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L162" s="16"/>
      <c r="M162" s="13"/>
    </row>
    <row r="163" ht="15.75" customHeight="1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L163" s="16"/>
      <c r="M163" s="13"/>
    </row>
    <row r="164" ht="15.75" customHeight="1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L164" s="16"/>
      <c r="M164" s="13"/>
    </row>
    <row r="165" ht="15.75" customHeight="1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L165" s="16"/>
      <c r="M165" s="13"/>
    </row>
    <row r="166" ht="15.75" customHeight="1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L166" s="16"/>
      <c r="M166" s="13"/>
    </row>
    <row r="167" ht="15.75" customHeight="1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L167" s="16"/>
      <c r="M167" s="13"/>
    </row>
    <row r="168" ht="15.75" customHeight="1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L168" s="16"/>
      <c r="M168" s="13"/>
    </row>
    <row r="169" ht="15.75" customHeight="1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L169" s="16"/>
      <c r="M169" s="13"/>
    </row>
    <row r="170" ht="15.75" customHeight="1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L170" s="16"/>
      <c r="M170" s="13"/>
    </row>
    <row r="171" ht="15.75" customHeight="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L171" s="16"/>
      <c r="M171" s="13"/>
    </row>
    <row r="172" ht="15.75" customHeight="1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L172" s="16"/>
      <c r="M172" s="13"/>
    </row>
    <row r="173" ht="15.75" customHeight="1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L173" s="16"/>
      <c r="M173" s="13"/>
    </row>
    <row r="174" ht="15.75" customHeight="1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L174" s="16"/>
      <c r="M174" s="13"/>
    </row>
    <row r="175" ht="15.75" customHeight="1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L175" s="16"/>
      <c r="M175" s="13"/>
    </row>
    <row r="176" ht="15.75" customHeight="1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L176" s="16"/>
      <c r="M176" s="13"/>
    </row>
    <row r="177" ht="15.75" customHeight="1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L177" s="16"/>
      <c r="M177" s="13"/>
    </row>
    <row r="178" ht="15.75" customHeight="1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L178" s="16"/>
      <c r="M178" s="13"/>
    </row>
    <row r="179" ht="15.75" customHeight="1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L179" s="16"/>
      <c r="M179" s="13"/>
    </row>
    <row r="180" ht="15.75" customHeight="1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L180" s="16"/>
      <c r="M180" s="13"/>
    </row>
    <row r="181" ht="15.75" customHeight="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L181" s="16"/>
      <c r="M181" s="13"/>
    </row>
    <row r="182" ht="15.75" customHeight="1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L182" s="16"/>
      <c r="M182" s="13"/>
    </row>
    <row r="183" ht="15.75" customHeight="1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L183" s="16"/>
      <c r="M183" s="13"/>
    </row>
    <row r="184" ht="15.75" customHeight="1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L184" s="16"/>
      <c r="M184" s="13"/>
    </row>
    <row r="185" ht="15.75" customHeight="1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L185" s="16"/>
      <c r="M185" s="13"/>
    </row>
    <row r="186" ht="15.75" customHeight="1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L186" s="16"/>
      <c r="M186" s="13"/>
    </row>
    <row r="187" ht="15.75" customHeight="1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L187" s="16"/>
      <c r="M187" s="13"/>
    </row>
    <row r="188" ht="15.75" customHeight="1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L188" s="16"/>
      <c r="M188" s="13"/>
    </row>
    <row r="189" ht="15.75" customHeight="1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L189" s="16"/>
      <c r="M189" s="13"/>
    </row>
    <row r="190" ht="15.75" customHeight="1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L190" s="16"/>
      <c r="M190" s="13"/>
    </row>
    <row r="191" ht="15.75" customHeight="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L191" s="16"/>
      <c r="M191" s="13"/>
    </row>
    <row r="192" ht="15.75" customHeight="1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L192" s="16"/>
      <c r="M192" s="13"/>
    </row>
    <row r="193" ht="15.75" customHeight="1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L193" s="16"/>
      <c r="M193" s="13"/>
    </row>
    <row r="194" ht="15.75" customHeight="1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L194" s="16"/>
      <c r="M194" s="13"/>
    </row>
    <row r="195" ht="15.75" customHeight="1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L195" s="16"/>
      <c r="M195" s="13"/>
    </row>
    <row r="196" ht="15.75" customHeight="1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L196" s="16"/>
      <c r="M196" s="13"/>
    </row>
    <row r="197" ht="15.75" customHeight="1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L197" s="16"/>
      <c r="M197" s="13"/>
    </row>
    <row r="198" ht="15.75" customHeight="1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L198" s="16"/>
      <c r="M198" s="13"/>
    </row>
    <row r="199" ht="15.75" customHeight="1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L199" s="16"/>
      <c r="M199" s="13"/>
    </row>
    <row r="200" ht="15.75" customHeight="1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L200" s="16"/>
      <c r="M200" s="13"/>
    </row>
    <row r="201" ht="15.75" customHeight="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L201" s="16"/>
      <c r="M201" s="13"/>
    </row>
    <row r="202" ht="15.75" customHeight="1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L202" s="16"/>
      <c r="M202" s="13"/>
    </row>
    <row r="203" ht="15.75" customHeight="1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L203" s="16"/>
      <c r="M203" s="13"/>
    </row>
    <row r="204" ht="15.75" customHeight="1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L204" s="16"/>
      <c r="M204" s="13"/>
    </row>
    <row r="205" ht="15.75" customHeight="1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L205" s="16"/>
      <c r="M205" s="13"/>
    </row>
    <row r="206" ht="15.75" customHeight="1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L206" s="16"/>
      <c r="M206" s="13"/>
    </row>
    <row r="207" ht="15.75" customHeight="1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L207" s="16"/>
      <c r="M207" s="13"/>
    </row>
    <row r="208" ht="15.75" customHeight="1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L208" s="16"/>
      <c r="M208" s="13"/>
    </row>
    <row r="209" ht="15.75" customHeight="1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L209" s="16"/>
      <c r="M209" s="13"/>
    </row>
    <row r="210" ht="15.75" customHeight="1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L210" s="16"/>
      <c r="M210" s="13"/>
    </row>
    <row r="211" ht="15.75" customHeight="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L211" s="16"/>
      <c r="M211" s="13"/>
    </row>
    <row r="212" ht="15.75" customHeight="1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L212" s="16"/>
      <c r="M212" s="13"/>
    </row>
    <row r="213" ht="15.75" customHeight="1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L213" s="16"/>
      <c r="M213" s="13"/>
    </row>
    <row r="214" ht="15.75" customHeight="1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L214" s="16"/>
      <c r="M214" s="13"/>
    </row>
    <row r="215" ht="15.75" customHeight="1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L215" s="16"/>
      <c r="M215" s="13"/>
    </row>
    <row r="216" ht="15.75" customHeight="1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L216" s="16"/>
      <c r="M216" s="13"/>
    </row>
    <row r="217" ht="15.75" customHeight="1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L217" s="16"/>
      <c r="M217" s="13"/>
    </row>
    <row r="218" ht="15.75" customHeight="1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L218" s="16"/>
      <c r="M218" s="13"/>
    </row>
    <row r="219" ht="15.75" customHeight="1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L219" s="16"/>
      <c r="M219" s="13"/>
    </row>
    <row r="220" ht="15.75" customHeight="1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L220" s="16"/>
      <c r="M220" s="13"/>
    </row>
    <row r="221" ht="15.75" customHeight="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L221" s="16"/>
      <c r="M221" s="13"/>
    </row>
    <row r="222" ht="15.75" customHeight="1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L222" s="16"/>
      <c r="M222" s="13"/>
    </row>
    <row r="223" ht="15.75" customHeight="1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L223" s="16"/>
      <c r="M223" s="13"/>
    </row>
    <row r="224" ht="15.75" customHeight="1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L224" s="16"/>
      <c r="M224" s="13"/>
    </row>
    <row r="225" ht="15.75" customHeight="1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L225" s="16"/>
      <c r="M225" s="13"/>
    </row>
    <row r="226" ht="15.75" customHeight="1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L226" s="16"/>
      <c r="M226" s="13"/>
    </row>
    <row r="227" ht="15.75" customHeight="1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L227" s="16"/>
      <c r="M227" s="13"/>
    </row>
    <row r="228" ht="15.75" customHeight="1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L228" s="16"/>
      <c r="M228" s="13"/>
    </row>
    <row r="229" ht="15.75" customHeight="1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L229" s="16"/>
      <c r="M229" s="13"/>
    </row>
    <row r="230" ht="15.75" customHeight="1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L230" s="16"/>
      <c r="M230" s="13"/>
    </row>
    <row r="231" ht="15.75" customHeight="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L231" s="16"/>
      <c r="M231" s="13"/>
    </row>
    <row r="232" ht="15.75" customHeight="1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L232" s="16"/>
      <c r="M232" s="13"/>
    </row>
    <row r="233" ht="15.75" customHeight="1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L233" s="16"/>
      <c r="M233" s="13"/>
    </row>
    <row r="234" ht="15.75" customHeight="1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L234" s="16"/>
      <c r="M234" s="13"/>
    </row>
    <row r="235" ht="15.75" customHeight="1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L235" s="16"/>
      <c r="M235" s="13"/>
    </row>
    <row r="236" ht="15.75" customHeight="1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L236" s="16"/>
      <c r="M236" s="13"/>
    </row>
    <row r="237" ht="15.75" customHeight="1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L237" s="16"/>
      <c r="M237" s="13"/>
    </row>
    <row r="238" ht="15.75" customHeight="1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L238" s="16"/>
      <c r="M238" s="13"/>
    </row>
    <row r="239" ht="15.75" customHeight="1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L239" s="16"/>
      <c r="M239" s="13"/>
    </row>
    <row r="240" ht="15.75" customHeight="1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L240" s="16"/>
      <c r="M240" s="13"/>
    </row>
    <row r="241" ht="15.75" customHeight="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L241" s="16"/>
      <c r="M241" s="13"/>
    </row>
    <row r="242" ht="15.75" customHeight="1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L242" s="16"/>
      <c r="M242" s="13"/>
    </row>
    <row r="243" ht="15.75" customHeight="1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L243" s="16"/>
      <c r="M243" s="13"/>
    </row>
    <row r="244" ht="15.75" customHeight="1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L244" s="16"/>
      <c r="M244" s="13"/>
    </row>
    <row r="245" ht="15.75" customHeight="1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L245" s="16"/>
      <c r="M245" s="13"/>
    </row>
    <row r="246" ht="15.75" customHeight="1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L246" s="16"/>
      <c r="M246" s="13"/>
    </row>
    <row r="247" ht="15.75" customHeight="1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M247" s="13"/>
    </row>
    <row r="248" ht="15.75" customHeight="1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M248" s="13"/>
    </row>
    <row r="249" ht="15.75" customHeight="1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M249" s="13"/>
    </row>
    <row r="250" ht="15.75" customHeight="1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M250" s="13"/>
    </row>
    <row r="251" ht="15.75" customHeight="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M251" s="13"/>
    </row>
    <row r="252" ht="15.75" customHeight="1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M252" s="13"/>
    </row>
    <row r="253" ht="15.75" customHeight="1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M253" s="13"/>
    </row>
    <row r="254" ht="15.75" customHeight="1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M254" s="13"/>
    </row>
    <row r="255" ht="15.75" customHeight="1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M255" s="13"/>
    </row>
    <row r="256" ht="15.75" customHeight="1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M256" s="13"/>
    </row>
    <row r="257" ht="15.75" customHeight="1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M257" s="13"/>
    </row>
    <row r="258" ht="15.75" customHeight="1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M258" s="13"/>
    </row>
    <row r="259" ht="15.75" customHeight="1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M259" s="13"/>
    </row>
    <row r="260" ht="15.75" customHeight="1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M260" s="13"/>
    </row>
    <row r="261" ht="15.75" customHeight="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M261" s="13"/>
    </row>
    <row r="262" ht="15.75" customHeight="1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M262" s="13"/>
    </row>
    <row r="263" ht="15.75" customHeight="1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M263" s="13"/>
    </row>
    <row r="264" ht="15.75" customHeight="1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M264" s="13"/>
    </row>
    <row r="265" ht="15.75" customHeight="1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M265" s="13"/>
    </row>
    <row r="266" ht="15.75" customHeight="1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M266" s="13"/>
    </row>
    <row r="267" ht="15.75" customHeight="1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M267" s="13"/>
    </row>
    <row r="268" ht="15.75" customHeight="1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M268" s="13"/>
    </row>
    <row r="269" ht="15.75" customHeight="1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M269" s="13"/>
    </row>
    <row r="270" ht="15.75" customHeight="1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M270" s="13"/>
    </row>
    <row r="271" ht="15.75" customHeight="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M271" s="13"/>
    </row>
    <row r="272" ht="15.75" customHeight="1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M272" s="13"/>
    </row>
    <row r="273" ht="15.75" customHeight="1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M273" s="13"/>
    </row>
    <row r="274" ht="15.75" customHeight="1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M274" s="13"/>
    </row>
    <row r="275" ht="15.75" customHeight="1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M275" s="13"/>
    </row>
    <row r="276" ht="15.75" customHeight="1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M276" s="13"/>
    </row>
    <row r="277" ht="15.75" customHeight="1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M277" s="13"/>
    </row>
    <row r="278" ht="15.75" customHeight="1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M278" s="13"/>
    </row>
    <row r="279" ht="15.75" customHeight="1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M279" s="13"/>
    </row>
    <row r="280" ht="15.75" customHeight="1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M280" s="13"/>
    </row>
    <row r="281" ht="15.75" customHeight="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M281" s="13"/>
    </row>
    <row r="282" ht="15.75" customHeight="1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M282" s="13"/>
    </row>
    <row r="283" ht="15.75" customHeight="1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M283" s="13"/>
    </row>
    <row r="284" ht="15.75" customHeight="1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M284" s="13"/>
    </row>
    <row r="285" ht="15.75" customHeight="1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M285" s="13"/>
    </row>
    <row r="286" ht="15.75" customHeight="1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M286" s="13"/>
    </row>
    <row r="287" ht="15.75" customHeight="1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M287" s="13"/>
    </row>
    <row r="288" ht="15.75" customHeight="1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M288" s="13"/>
    </row>
    <row r="289" ht="15.75" customHeight="1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M289" s="13"/>
    </row>
    <row r="290" ht="15.75" customHeight="1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M290" s="13"/>
    </row>
    <row r="291" ht="15.75" customHeight="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M291" s="13"/>
    </row>
    <row r="292" ht="15.75" customHeight="1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M292" s="13"/>
    </row>
    <row r="293" ht="15.75" customHeight="1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M293" s="13"/>
    </row>
    <row r="294" ht="15.75" customHeight="1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M294" s="13"/>
    </row>
    <row r="295" ht="15.75" customHeight="1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M295" s="13"/>
    </row>
    <row r="296" ht="15.75" customHeight="1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M296" s="13"/>
    </row>
    <row r="297" ht="15.75" customHeight="1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M297" s="13"/>
    </row>
    <row r="298" ht="15.75" customHeight="1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M298" s="13"/>
    </row>
    <row r="299" ht="15.75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M299" s="13"/>
    </row>
    <row r="300" ht="15.75" customHeight="1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M300" s="13"/>
    </row>
    <row r="301" ht="15.75" customHeight="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M301" s="13"/>
    </row>
    <row r="302" ht="15.75" customHeight="1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M302" s="13"/>
    </row>
    <row r="303" ht="15.75" customHeight="1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M303" s="13"/>
    </row>
    <row r="304" ht="15.75" customHeight="1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M304" s="13"/>
    </row>
    <row r="305" ht="15.75" customHeight="1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M305" s="13"/>
    </row>
    <row r="306" ht="15.75" customHeight="1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M306" s="13"/>
    </row>
    <row r="307" ht="15.75" customHeight="1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M307" s="13"/>
    </row>
    <row r="308" ht="15.75" customHeight="1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M308" s="13"/>
    </row>
    <row r="309" ht="15.75" customHeight="1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M309" s="13"/>
    </row>
    <row r="310" ht="15.75" customHeight="1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M310" s="13"/>
    </row>
    <row r="311" ht="15.75" customHeight="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M311" s="13"/>
    </row>
    <row r="312" ht="15.75" customHeight="1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M312" s="13"/>
    </row>
    <row r="313" ht="15.75" customHeight="1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M313" s="13"/>
    </row>
    <row r="314" ht="15.75" customHeight="1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M314" s="13"/>
    </row>
    <row r="315" ht="15.75" customHeight="1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M315" s="13"/>
    </row>
    <row r="316" ht="15.75" customHeight="1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M316" s="13"/>
    </row>
    <row r="317" ht="15.75" customHeight="1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M317" s="13"/>
    </row>
    <row r="318" ht="15.75" customHeight="1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M318" s="13"/>
    </row>
    <row r="319" ht="15.75" customHeight="1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M319" s="13"/>
    </row>
    <row r="320" ht="15.75" customHeight="1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M320" s="13"/>
    </row>
    <row r="321" ht="15.75" customHeight="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M321" s="13"/>
    </row>
    <row r="322" ht="15.75" customHeight="1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M322" s="13"/>
    </row>
    <row r="323" ht="15.75" customHeight="1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M323" s="13"/>
    </row>
    <row r="324" ht="15.75" customHeight="1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M324" s="13"/>
    </row>
    <row r="325" ht="15.75" customHeight="1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M325" s="13"/>
    </row>
    <row r="326" ht="15.75" customHeight="1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M326" s="13"/>
    </row>
    <row r="327" ht="15.75" customHeight="1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M327" s="13"/>
    </row>
    <row r="328" ht="15.75" customHeight="1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M328" s="13"/>
    </row>
    <row r="329" ht="15.75" customHeight="1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M329" s="13"/>
    </row>
    <row r="330" ht="15.75" customHeight="1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M330" s="13"/>
    </row>
    <row r="331" ht="15.75" customHeight="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M331" s="13"/>
    </row>
    <row r="332" ht="15.75" customHeight="1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M332" s="13"/>
    </row>
    <row r="333" ht="15.75" customHeight="1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M333" s="13"/>
    </row>
    <row r="334" ht="15.75" customHeight="1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M334" s="13"/>
    </row>
    <row r="335" ht="15.75" customHeight="1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M335" s="13"/>
    </row>
    <row r="336" ht="15.75" customHeight="1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M336" s="13"/>
    </row>
    <row r="337" ht="15.75" customHeight="1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M337" s="13"/>
    </row>
    <row r="338" ht="15.75" customHeight="1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M338" s="13"/>
    </row>
    <row r="339" ht="15.75" customHeight="1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M339" s="13"/>
    </row>
    <row r="340" ht="15.75" customHeight="1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M340" s="13"/>
    </row>
    <row r="341" ht="15.75" customHeight="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M341" s="13"/>
    </row>
    <row r="342" ht="15.75" customHeight="1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M342" s="13"/>
    </row>
    <row r="343" ht="15.75" customHeight="1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M343" s="13"/>
    </row>
    <row r="344" ht="15.75" customHeight="1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M344" s="13"/>
    </row>
    <row r="345" ht="15.75" customHeight="1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M345" s="13"/>
    </row>
    <row r="346" ht="15.75" customHeight="1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M346" s="13"/>
    </row>
    <row r="347" ht="15.75" customHeight="1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M347" s="13"/>
    </row>
    <row r="348" ht="15.75" customHeight="1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M348" s="13"/>
    </row>
    <row r="349" ht="15.75" customHeight="1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M349" s="13"/>
    </row>
    <row r="350" ht="15.75" customHeight="1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M350" s="13"/>
    </row>
    <row r="351" ht="15.75" customHeight="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M351" s="13"/>
    </row>
    <row r="352" ht="15.75" customHeight="1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M352" s="13"/>
    </row>
    <row r="353" ht="15.75" customHeight="1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M353" s="13"/>
    </row>
    <row r="354" ht="15.75" customHeight="1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M354" s="13"/>
    </row>
    <row r="355" ht="15.75" customHeight="1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M355" s="13"/>
    </row>
    <row r="356" ht="15.75" customHeight="1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M356" s="13"/>
    </row>
    <row r="357" ht="15.75" customHeight="1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M357" s="13"/>
    </row>
    <row r="358" ht="15.75" customHeight="1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M358" s="13"/>
    </row>
    <row r="359" ht="15.75" customHeight="1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M359" s="13"/>
    </row>
    <row r="360" ht="15.75" customHeight="1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M360" s="13"/>
    </row>
    <row r="361" ht="15.75" customHeight="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M361" s="13"/>
    </row>
    <row r="362" ht="15.75" customHeight="1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M362" s="13"/>
    </row>
    <row r="363" ht="15.75" customHeight="1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M363" s="13"/>
    </row>
    <row r="364" ht="15.75" customHeight="1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M364" s="13"/>
    </row>
    <row r="365" ht="15.75" customHeight="1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M365" s="13"/>
    </row>
    <row r="366" ht="15.75" customHeight="1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M366" s="13"/>
    </row>
    <row r="367" ht="15.75" customHeight="1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M367" s="13"/>
    </row>
    <row r="368" ht="15.75" customHeight="1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M368" s="13"/>
    </row>
    <row r="369" ht="15.75" customHeight="1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M369" s="13"/>
    </row>
    <row r="370" ht="15.75" customHeight="1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M370" s="13"/>
    </row>
    <row r="371" ht="15.75" customHeight="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M371" s="13"/>
    </row>
    <row r="372" ht="15.75" customHeight="1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M372" s="13"/>
    </row>
    <row r="373" ht="15.75" customHeight="1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M373" s="13"/>
    </row>
    <row r="374" ht="15.75" customHeight="1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M374" s="13"/>
    </row>
    <row r="375" ht="15.75" customHeight="1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M375" s="13"/>
    </row>
    <row r="376" ht="15.75" customHeight="1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M376" s="13"/>
    </row>
    <row r="377" ht="15.75" customHeight="1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M377" s="13"/>
    </row>
    <row r="378" ht="15.75" customHeight="1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M378" s="13"/>
    </row>
    <row r="379" ht="15.75" customHeight="1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M379" s="13"/>
    </row>
    <row r="380" ht="15.75" customHeight="1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M380" s="13"/>
    </row>
    <row r="381" ht="15.75" customHeight="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M381" s="13"/>
    </row>
    <row r="382" ht="15.75" customHeight="1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M382" s="13"/>
    </row>
    <row r="383" ht="15.75" customHeight="1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M383" s="13"/>
    </row>
    <row r="384" ht="15.75" customHeight="1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M384" s="13"/>
    </row>
    <row r="385" ht="15.75" customHeight="1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M385" s="13"/>
    </row>
    <row r="386" ht="15.75" customHeight="1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M386" s="13"/>
    </row>
    <row r="387" ht="15.75" customHeight="1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M387" s="13"/>
    </row>
    <row r="388" ht="15.75" customHeight="1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M388" s="13"/>
    </row>
    <row r="389" ht="15.75" customHeight="1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M389" s="13"/>
    </row>
    <row r="390" ht="15.75" customHeight="1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M390" s="13"/>
    </row>
    <row r="391" ht="15.75" customHeight="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M391" s="13"/>
    </row>
    <row r="392" ht="15.75" customHeight="1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M392" s="13"/>
    </row>
    <row r="393" ht="15.75" customHeight="1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M393" s="13"/>
    </row>
    <row r="394" ht="15.75" customHeight="1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M394" s="13"/>
    </row>
    <row r="395" ht="15.75" customHeight="1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M395" s="13"/>
    </row>
    <row r="396" ht="15.75" customHeight="1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M396" s="13"/>
    </row>
    <row r="397" ht="15.75" customHeight="1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M397" s="13"/>
    </row>
    <row r="398" ht="15.75" customHeight="1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M398" s="13"/>
    </row>
    <row r="399" ht="15.75" customHeight="1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M399" s="13"/>
    </row>
    <row r="400" ht="15.75" customHeight="1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M400" s="13"/>
    </row>
    <row r="401" ht="15.75" customHeight="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M401" s="13"/>
    </row>
    <row r="402" ht="15.75" customHeight="1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M402" s="13"/>
    </row>
    <row r="403" ht="15.75" customHeight="1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M403" s="13"/>
    </row>
    <row r="404" ht="15.75" customHeight="1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M404" s="13"/>
    </row>
    <row r="405" ht="15.75" customHeight="1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M405" s="13"/>
    </row>
    <row r="406" ht="15.75" customHeight="1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M406" s="13"/>
    </row>
    <row r="407" ht="15.75" customHeight="1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M407" s="13"/>
    </row>
    <row r="408" ht="15.75" customHeight="1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M408" s="13"/>
    </row>
    <row r="409" ht="15.75" customHeight="1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M409" s="13"/>
    </row>
    <row r="410" ht="15.75" customHeight="1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M410" s="13"/>
    </row>
    <row r="411" ht="15.75" customHeight="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M411" s="13"/>
    </row>
    <row r="412" ht="15.75" customHeight="1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M412" s="13"/>
    </row>
    <row r="413" ht="15.75" customHeight="1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M413" s="13"/>
    </row>
    <row r="414" ht="15.75" customHeight="1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M414" s="13"/>
    </row>
    <row r="415" ht="15.75" customHeight="1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M415" s="13"/>
    </row>
    <row r="416" ht="15.75" customHeight="1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M416" s="13"/>
    </row>
    <row r="417" ht="15.75" customHeight="1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M417" s="13"/>
    </row>
    <row r="418" ht="15.75" customHeight="1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M418" s="13"/>
    </row>
    <row r="419" ht="15.75" customHeight="1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M419" s="13"/>
    </row>
    <row r="420" ht="15.75" customHeight="1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M420" s="13"/>
    </row>
    <row r="421" ht="15.75" customHeight="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M421" s="13"/>
    </row>
    <row r="422" ht="15.75" customHeight="1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M422" s="13"/>
    </row>
    <row r="423" ht="15.75" customHeight="1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M423" s="13"/>
    </row>
    <row r="424" ht="15.75" customHeight="1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M424" s="13"/>
    </row>
    <row r="425" ht="15.75" customHeight="1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M425" s="13"/>
    </row>
    <row r="426" ht="15.75" customHeight="1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M426" s="13"/>
    </row>
    <row r="427" ht="15.75" customHeight="1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M427" s="13"/>
    </row>
    <row r="428" ht="15.75" customHeight="1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M428" s="13"/>
    </row>
    <row r="429" ht="15.75" customHeight="1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M429" s="13"/>
    </row>
    <row r="430" ht="15.75" customHeight="1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M430" s="13"/>
    </row>
    <row r="431" ht="15.75" customHeight="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M431" s="13"/>
    </row>
    <row r="432" ht="15.75" customHeight="1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M432" s="13"/>
    </row>
    <row r="433" ht="15.75" customHeight="1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M433" s="13"/>
    </row>
    <row r="434" ht="15.75" customHeight="1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M434" s="13"/>
    </row>
    <row r="435" ht="15.75" customHeight="1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M435" s="13"/>
    </row>
    <row r="436" ht="15.75" customHeight="1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M436" s="13"/>
    </row>
    <row r="437" ht="15.75" customHeight="1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M437" s="13"/>
    </row>
    <row r="438" ht="15.75" customHeight="1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M438" s="13"/>
    </row>
    <row r="439" ht="15.75" customHeight="1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M439" s="13"/>
    </row>
    <row r="440" ht="15.75" customHeight="1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M440" s="13"/>
    </row>
    <row r="441" ht="15.75" customHeight="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M441" s="13"/>
    </row>
    <row r="442" ht="15.75" customHeight="1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M442" s="13"/>
    </row>
    <row r="443" ht="15.75" customHeight="1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M443" s="13"/>
    </row>
    <row r="444" ht="15.75" customHeight="1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M444" s="13"/>
    </row>
    <row r="445" ht="15.75" customHeight="1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M445" s="13"/>
    </row>
    <row r="446" ht="15.75" customHeight="1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M446" s="13"/>
    </row>
    <row r="447" ht="15.75" customHeight="1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M447" s="13"/>
    </row>
    <row r="448" ht="15.75" customHeight="1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M448" s="13"/>
    </row>
    <row r="449" ht="15.75" customHeight="1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M449" s="13"/>
    </row>
    <row r="450" ht="15.75" customHeight="1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M450" s="13"/>
    </row>
    <row r="451" ht="15.75" customHeight="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M451" s="13"/>
    </row>
    <row r="452" ht="15.75" customHeight="1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M452" s="13"/>
    </row>
    <row r="453" ht="15.75" customHeight="1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M453" s="13"/>
    </row>
    <row r="454" ht="15.75" customHeight="1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M454" s="13"/>
    </row>
    <row r="455" ht="15.75" customHeight="1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M455" s="13"/>
    </row>
    <row r="456" ht="15.75" customHeight="1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M456" s="13"/>
    </row>
    <row r="457" ht="15.75" customHeight="1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M457" s="13"/>
    </row>
    <row r="458" ht="15.75" customHeight="1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M458" s="13"/>
    </row>
    <row r="459" ht="15.75" customHeight="1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M459" s="13"/>
    </row>
    <row r="460" ht="15.75" customHeight="1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M460" s="13"/>
    </row>
    <row r="461" ht="15.75" customHeight="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M461" s="13"/>
    </row>
    <row r="462" ht="15.75" customHeight="1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M462" s="13"/>
    </row>
    <row r="463" ht="15.75" customHeight="1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M463" s="13"/>
    </row>
    <row r="464" ht="15.75" customHeight="1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M464" s="13"/>
    </row>
    <row r="465" ht="15.75" customHeight="1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M465" s="13"/>
    </row>
    <row r="466" ht="15.75" customHeight="1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M466" s="13"/>
    </row>
    <row r="467" ht="15.75" customHeight="1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M467" s="13"/>
    </row>
    <row r="468" ht="15.75" customHeight="1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M468" s="13"/>
    </row>
    <row r="469" ht="15.75" customHeight="1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M469" s="13"/>
    </row>
    <row r="470" ht="15.75" customHeight="1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M470" s="13"/>
    </row>
    <row r="471" ht="15.75" customHeight="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M471" s="13"/>
    </row>
    <row r="472" ht="15.75" customHeight="1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M472" s="13"/>
    </row>
    <row r="473" ht="15.75" customHeight="1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M473" s="13"/>
    </row>
    <row r="474" ht="15.75" customHeight="1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M474" s="13"/>
    </row>
    <row r="475" ht="15.75" customHeight="1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M475" s="13"/>
    </row>
    <row r="476" ht="15.75" customHeight="1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M476" s="13"/>
    </row>
    <row r="477" ht="15.75" customHeight="1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M477" s="13"/>
    </row>
    <row r="478" ht="15.75" customHeight="1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M478" s="13"/>
    </row>
    <row r="479" ht="15.75" customHeight="1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M479" s="13"/>
    </row>
    <row r="480" ht="15.75" customHeight="1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M480" s="13"/>
    </row>
    <row r="481" ht="15.75" customHeight="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M481" s="13"/>
    </row>
    <row r="482" ht="15.75" customHeight="1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M482" s="13"/>
    </row>
    <row r="483" ht="15.75" customHeight="1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M483" s="13"/>
    </row>
    <row r="484" ht="15.75" customHeight="1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M484" s="13"/>
    </row>
    <row r="485" ht="15.75" customHeight="1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M485" s="13"/>
    </row>
    <row r="486" ht="15.75" customHeight="1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M486" s="13"/>
    </row>
    <row r="487" ht="15.75" customHeight="1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M487" s="13"/>
    </row>
    <row r="488" ht="15.75" customHeight="1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M488" s="13"/>
    </row>
    <row r="489" ht="15.75" customHeight="1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M489" s="13"/>
    </row>
    <row r="490" ht="15.75" customHeight="1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M490" s="13"/>
    </row>
    <row r="491" ht="15.75" customHeight="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M491" s="13"/>
    </row>
    <row r="492" ht="15.75" customHeight="1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M492" s="13"/>
    </row>
    <row r="493" ht="15.75" customHeight="1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M493" s="13"/>
    </row>
    <row r="494" ht="15.75" customHeight="1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M494" s="13"/>
    </row>
    <row r="495" ht="15.75" customHeight="1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M495" s="13"/>
    </row>
    <row r="496" ht="15.75" customHeight="1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M496" s="13"/>
    </row>
    <row r="497" ht="15.75" customHeight="1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M497" s="13"/>
    </row>
    <row r="498" ht="15.75" customHeight="1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M498" s="13"/>
    </row>
    <row r="499" ht="15.75" customHeight="1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M499" s="13"/>
    </row>
    <row r="500" ht="15.75" customHeight="1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M500" s="13"/>
    </row>
    <row r="501" ht="15.75" customHeight="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M501" s="13"/>
    </row>
    <row r="502" ht="15.75" customHeight="1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M502" s="13"/>
    </row>
    <row r="503" ht="15.75" customHeight="1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M503" s="13"/>
    </row>
    <row r="504" ht="15.75" customHeight="1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M504" s="13"/>
    </row>
    <row r="505" ht="15.75" customHeight="1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M505" s="13"/>
    </row>
    <row r="506" ht="15.75" customHeight="1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M506" s="13"/>
    </row>
    <row r="507" ht="15.75" customHeight="1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M507" s="13"/>
    </row>
    <row r="508" ht="15.75" customHeight="1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M508" s="13"/>
    </row>
    <row r="509" ht="15.75" customHeight="1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M509" s="13"/>
    </row>
    <row r="510" ht="15.75" customHeight="1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M510" s="13"/>
    </row>
    <row r="511" ht="15.75" customHeight="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M511" s="13"/>
    </row>
    <row r="512" ht="15.75" customHeight="1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M512" s="13"/>
    </row>
    <row r="513" ht="15.75" customHeight="1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M513" s="13"/>
    </row>
    <row r="514" ht="15.75" customHeight="1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M514" s="13"/>
    </row>
    <row r="515" ht="15.75" customHeight="1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M515" s="13"/>
    </row>
    <row r="516" ht="15.75" customHeight="1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M516" s="13"/>
    </row>
    <row r="517" ht="15.75" customHeight="1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M517" s="13"/>
    </row>
    <row r="518" ht="15.75" customHeight="1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M518" s="13"/>
    </row>
    <row r="519" ht="15.75" customHeight="1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M519" s="13"/>
    </row>
    <row r="520" ht="15.75" customHeight="1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M520" s="13"/>
    </row>
    <row r="521" ht="15.75" customHeight="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M521" s="13"/>
    </row>
    <row r="522" ht="15.75" customHeight="1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M522" s="13"/>
    </row>
    <row r="523" ht="15.75" customHeight="1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M523" s="13"/>
    </row>
    <row r="524" ht="15.75" customHeight="1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M524" s="13"/>
    </row>
    <row r="525" ht="15.75" customHeight="1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M525" s="13"/>
    </row>
    <row r="526" ht="15.75" customHeight="1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M526" s="13"/>
    </row>
    <row r="527" ht="15.75" customHeight="1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M527" s="13"/>
    </row>
    <row r="528" ht="15.75" customHeight="1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M528" s="13"/>
    </row>
    <row r="529" ht="15.75" customHeight="1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M529" s="13"/>
    </row>
    <row r="530" ht="15.75" customHeight="1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M530" s="13"/>
    </row>
    <row r="531" ht="15.75" customHeight="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M531" s="13"/>
    </row>
    <row r="532" ht="15.75" customHeight="1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M532" s="13"/>
    </row>
    <row r="533" ht="15.75" customHeight="1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M533" s="13"/>
    </row>
    <row r="534" ht="15.75" customHeight="1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M534" s="13"/>
    </row>
    <row r="535" ht="15.75" customHeight="1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M535" s="13"/>
    </row>
    <row r="536" ht="15.75" customHeight="1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M536" s="13"/>
    </row>
    <row r="537" ht="15.75" customHeight="1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M537" s="13"/>
    </row>
    <row r="538" ht="15.75" customHeight="1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M538" s="13"/>
    </row>
    <row r="539" ht="15.75" customHeight="1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M539" s="13"/>
    </row>
    <row r="540" ht="15.75" customHeight="1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M540" s="13"/>
    </row>
    <row r="541" ht="15.75" customHeight="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M541" s="13"/>
    </row>
    <row r="542" ht="15.75" customHeight="1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M542" s="13"/>
    </row>
    <row r="543" ht="15.75" customHeight="1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M543" s="13"/>
    </row>
    <row r="544" ht="15.75" customHeight="1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M544" s="13"/>
    </row>
    <row r="545" ht="15.75" customHeight="1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M545" s="13"/>
    </row>
    <row r="546" ht="15.75" customHeight="1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M546" s="13"/>
    </row>
    <row r="547" ht="15.75" customHeight="1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M547" s="13"/>
    </row>
    <row r="548" ht="15.75" customHeight="1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M548" s="13"/>
    </row>
    <row r="549" ht="15.75" customHeight="1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M549" s="13"/>
    </row>
    <row r="550" ht="15.75" customHeight="1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M550" s="13"/>
    </row>
    <row r="551" ht="15.75" customHeight="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M551" s="13"/>
    </row>
    <row r="552" ht="15.75" customHeight="1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M552" s="13"/>
    </row>
    <row r="553" ht="15.75" customHeight="1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M553" s="13"/>
    </row>
    <row r="554" ht="15.75" customHeight="1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M554" s="13"/>
    </row>
    <row r="555" ht="15.75" customHeight="1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M555" s="13"/>
    </row>
    <row r="556" ht="15.75" customHeight="1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M556" s="13"/>
    </row>
    <row r="557" ht="15.75" customHeight="1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M557" s="13"/>
    </row>
    <row r="558" ht="15.75" customHeight="1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M558" s="13"/>
    </row>
    <row r="559" ht="15.75" customHeight="1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M559" s="13"/>
    </row>
    <row r="560" ht="15.75" customHeight="1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M560" s="13"/>
    </row>
    <row r="561" ht="15.75" customHeight="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M561" s="13"/>
    </row>
    <row r="562" ht="15.75" customHeight="1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M562" s="13"/>
    </row>
    <row r="563" ht="15.75" customHeight="1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M563" s="13"/>
    </row>
    <row r="564" ht="15.75" customHeight="1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M564" s="13"/>
    </row>
    <row r="565" ht="15.75" customHeight="1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M565" s="13"/>
    </row>
    <row r="566" ht="15.75" customHeight="1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M566" s="13"/>
    </row>
    <row r="567" ht="15.75" customHeight="1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M567" s="13"/>
    </row>
    <row r="568" ht="15.75" customHeight="1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M568" s="13"/>
    </row>
    <row r="569" ht="15.75" customHeight="1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M569" s="13"/>
    </row>
    <row r="570" ht="15.75" customHeight="1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M570" s="13"/>
    </row>
    <row r="571" ht="15.75" customHeight="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M571" s="13"/>
    </row>
    <row r="572" ht="15.75" customHeight="1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M572" s="13"/>
    </row>
    <row r="573" ht="15.75" customHeight="1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M573" s="13"/>
    </row>
    <row r="574" ht="15.75" customHeight="1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M574" s="13"/>
    </row>
    <row r="575" ht="15.75" customHeight="1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M575" s="13"/>
    </row>
    <row r="576" ht="15.75" customHeight="1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M576" s="13"/>
    </row>
    <row r="577" ht="15.75" customHeight="1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M577" s="13"/>
    </row>
    <row r="578" ht="15.75" customHeight="1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M578" s="13"/>
    </row>
    <row r="579" ht="15.75" customHeight="1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M579" s="13"/>
    </row>
    <row r="580" ht="15.75" customHeight="1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M580" s="13"/>
    </row>
    <row r="581" ht="15.75" customHeight="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M581" s="13"/>
    </row>
    <row r="582" ht="15.75" customHeight="1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M582" s="13"/>
    </row>
    <row r="583" ht="15.75" customHeight="1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M583" s="13"/>
    </row>
    <row r="584" ht="15.75" customHeight="1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M584" s="13"/>
    </row>
    <row r="585" ht="15.75" customHeight="1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M585" s="13"/>
    </row>
    <row r="586" ht="15.75" customHeight="1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M586" s="13"/>
    </row>
    <row r="587" ht="15.75" customHeight="1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M587" s="13"/>
    </row>
    <row r="588" ht="15.75" customHeight="1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M588" s="13"/>
    </row>
    <row r="589" ht="15.75" customHeight="1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M589" s="13"/>
    </row>
    <row r="590" ht="15.75" customHeight="1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M590" s="13"/>
    </row>
    <row r="591" ht="15.75" customHeight="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M591" s="13"/>
    </row>
    <row r="592" ht="15.75" customHeight="1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M592" s="13"/>
    </row>
    <row r="593" ht="15.75" customHeight="1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M593" s="13"/>
    </row>
    <row r="594" ht="15.75" customHeight="1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M594" s="13"/>
    </row>
    <row r="595" ht="15.75" customHeight="1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M595" s="13"/>
    </row>
    <row r="596" ht="15.75" customHeight="1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M596" s="13"/>
    </row>
    <row r="597" ht="15.75" customHeight="1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M597" s="13"/>
    </row>
    <row r="598" ht="15.75" customHeight="1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M598" s="13"/>
    </row>
    <row r="599" ht="15.75" customHeight="1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M599" s="13"/>
    </row>
    <row r="600" ht="15.75" customHeight="1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M600" s="13"/>
    </row>
    <row r="601" ht="15.75" customHeight="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M601" s="13"/>
    </row>
    <row r="602" ht="15.75" customHeight="1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M602" s="13"/>
    </row>
    <row r="603" ht="15.75" customHeight="1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M603" s="13"/>
    </row>
    <row r="604" ht="15.75" customHeight="1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M604" s="13"/>
    </row>
    <row r="605" ht="15.75" customHeight="1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M605" s="13"/>
    </row>
    <row r="606" ht="15.75" customHeight="1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M606" s="13"/>
    </row>
    <row r="607" ht="15.75" customHeight="1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M607" s="13"/>
    </row>
    <row r="608" ht="15.75" customHeight="1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M608" s="13"/>
    </row>
    <row r="609" ht="15.75" customHeight="1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M609" s="13"/>
    </row>
    <row r="610" ht="15.75" customHeight="1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M610" s="13"/>
    </row>
    <row r="611" ht="15.75" customHeight="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M611" s="13"/>
    </row>
    <row r="612" ht="15.75" customHeight="1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M612" s="13"/>
    </row>
    <row r="613" ht="15.75" customHeight="1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M613" s="13"/>
    </row>
    <row r="614" ht="15.75" customHeight="1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M614" s="13"/>
    </row>
    <row r="615" ht="15.75" customHeight="1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M615" s="13"/>
    </row>
    <row r="616" ht="15.75" customHeight="1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M616" s="13"/>
    </row>
    <row r="617" ht="15.75" customHeight="1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M617" s="13"/>
    </row>
    <row r="618" ht="15.75" customHeight="1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M618" s="13"/>
    </row>
    <row r="619" ht="15.75" customHeight="1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M619" s="13"/>
    </row>
    <row r="620" ht="15.75" customHeight="1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M620" s="13"/>
    </row>
    <row r="621" ht="15.75" customHeight="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M621" s="13"/>
    </row>
    <row r="622" ht="15.75" customHeight="1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M622" s="13"/>
    </row>
    <row r="623" ht="15.75" customHeight="1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M623" s="13"/>
    </row>
    <row r="624" ht="15.75" customHeight="1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M624" s="13"/>
    </row>
    <row r="625" ht="15.75" customHeight="1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M625" s="13"/>
    </row>
    <row r="626" ht="15.75" customHeight="1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M626" s="13"/>
    </row>
    <row r="627" ht="15.75" customHeight="1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M627" s="13"/>
    </row>
    <row r="628" ht="15.75" customHeight="1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M628" s="13"/>
    </row>
    <row r="629" ht="15.75" customHeight="1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M629" s="13"/>
    </row>
    <row r="630" ht="15.75" customHeight="1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M630" s="13"/>
    </row>
    <row r="631" ht="15.75" customHeight="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M631" s="13"/>
    </row>
    <row r="632" ht="15.75" customHeight="1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M632" s="13"/>
    </row>
    <row r="633" ht="15.75" customHeight="1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M633" s="13"/>
    </row>
    <row r="634" ht="15.75" customHeight="1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M634" s="13"/>
    </row>
    <row r="635" ht="15.75" customHeight="1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M635" s="13"/>
    </row>
    <row r="636" ht="15.75" customHeight="1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M636" s="13"/>
    </row>
    <row r="637" ht="15.75" customHeight="1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M637" s="13"/>
    </row>
    <row r="638" ht="15.75" customHeight="1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M638" s="13"/>
    </row>
    <row r="639" ht="15.75" customHeight="1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M639" s="13"/>
    </row>
    <row r="640" ht="15.75" customHeight="1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M640" s="13"/>
    </row>
    <row r="641" ht="15.75" customHeight="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M641" s="13"/>
    </row>
    <row r="642" ht="15.75" customHeight="1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M642" s="13"/>
    </row>
    <row r="643" ht="15.75" customHeight="1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M643" s="13"/>
    </row>
    <row r="644" ht="15.75" customHeight="1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M644" s="13"/>
    </row>
    <row r="645" ht="15.75" customHeight="1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M645" s="13"/>
    </row>
    <row r="646" ht="15.75" customHeight="1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M646" s="13"/>
    </row>
    <row r="647" ht="15.75" customHeight="1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M647" s="13"/>
    </row>
    <row r="648" ht="15.75" customHeight="1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M648" s="13"/>
    </row>
    <row r="649" ht="15.75" customHeight="1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M649" s="13"/>
    </row>
    <row r="650" ht="15.75" customHeight="1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M650" s="13"/>
    </row>
    <row r="651" ht="15.75" customHeight="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M651" s="13"/>
    </row>
    <row r="652" ht="15.75" customHeight="1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M652" s="13"/>
    </row>
    <row r="653" ht="15.75" customHeight="1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M653" s="13"/>
    </row>
    <row r="654" ht="15.75" customHeight="1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M654" s="13"/>
    </row>
    <row r="655" ht="15.75" customHeight="1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M655" s="13"/>
    </row>
    <row r="656" ht="15.75" customHeight="1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M656" s="13"/>
    </row>
    <row r="657" ht="15.75" customHeight="1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M657" s="13"/>
    </row>
    <row r="658" ht="15.75" customHeight="1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M658" s="13"/>
    </row>
    <row r="659" ht="15.75" customHeight="1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M659" s="13"/>
    </row>
    <row r="660" ht="15.75" customHeight="1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M660" s="13"/>
    </row>
    <row r="661" ht="15.75" customHeight="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M661" s="13"/>
    </row>
    <row r="662" ht="15.75" customHeight="1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M662" s="13"/>
    </row>
    <row r="663" ht="15.75" customHeight="1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M663" s="13"/>
    </row>
    <row r="664" ht="15.75" customHeight="1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M664" s="13"/>
    </row>
    <row r="665" ht="15.75" customHeight="1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M665" s="13"/>
    </row>
    <row r="666" ht="15.75" customHeight="1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M666" s="13"/>
    </row>
    <row r="667" ht="15.75" customHeight="1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M667" s="13"/>
    </row>
    <row r="668" ht="15.75" customHeight="1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M668" s="13"/>
    </row>
    <row r="669" ht="15.75" customHeight="1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M669" s="13"/>
    </row>
    <row r="670" ht="15.75" customHeight="1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M670" s="13"/>
    </row>
    <row r="671" ht="15.75" customHeight="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M671" s="13"/>
    </row>
    <row r="672" ht="15.75" customHeight="1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M672" s="13"/>
    </row>
    <row r="673" ht="15.75" customHeight="1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M673" s="13"/>
    </row>
    <row r="674" ht="15.75" customHeight="1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M674" s="13"/>
    </row>
    <row r="675" ht="15.75" customHeight="1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M675" s="13"/>
    </row>
    <row r="676" ht="15.75" customHeight="1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M676" s="13"/>
    </row>
    <row r="677" ht="15.75" customHeight="1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M677" s="13"/>
    </row>
    <row r="678" ht="15.75" customHeight="1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M678" s="13"/>
    </row>
    <row r="679" ht="15.75" customHeight="1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M679" s="13"/>
    </row>
    <row r="680" ht="15.75" customHeight="1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M680" s="13"/>
    </row>
    <row r="681" ht="15.75" customHeight="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M681" s="13"/>
    </row>
    <row r="682" ht="15.75" customHeight="1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M682" s="13"/>
    </row>
    <row r="683" ht="15.75" customHeight="1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M683" s="13"/>
    </row>
    <row r="684" ht="15.75" customHeight="1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M684" s="13"/>
    </row>
    <row r="685" ht="15.75" customHeight="1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M685" s="13"/>
    </row>
    <row r="686" ht="15.75" customHeight="1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M686" s="13"/>
    </row>
    <row r="687" ht="15.75" customHeight="1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M687" s="13"/>
    </row>
    <row r="688" ht="15.75" customHeight="1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M688" s="13"/>
    </row>
    <row r="689" ht="15.75" customHeight="1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M689" s="13"/>
    </row>
    <row r="690" ht="15.75" customHeight="1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M690" s="13"/>
    </row>
    <row r="691" ht="15.75" customHeight="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M691" s="13"/>
    </row>
    <row r="692" ht="15.75" customHeight="1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M692" s="13"/>
    </row>
    <row r="693" ht="15.75" customHeight="1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M693" s="13"/>
    </row>
    <row r="694" ht="15.75" customHeight="1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M694" s="13"/>
    </row>
    <row r="695" ht="15.75" customHeight="1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M695" s="13"/>
    </row>
    <row r="696" ht="15.75" customHeight="1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M696" s="13"/>
    </row>
    <row r="697" ht="15.75" customHeight="1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M697" s="13"/>
    </row>
    <row r="698" ht="15.75" customHeight="1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M698" s="13"/>
    </row>
    <row r="699" ht="15.75" customHeight="1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M699" s="13"/>
    </row>
    <row r="700" ht="15.75" customHeight="1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M700" s="13"/>
    </row>
    <row r="701" ht="15.75" customHeight="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M701" s="13"/>
    </row>
    <row r="702" ht="15.75" customHeight="1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M702" s="13"/>
    </row>
    <row r="703" ht="15.75" customHeight="1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M703" s="13"/>
    </row>
    <row r="704" ht="15.75" customHeight="1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M704" s="13"/>
    </row>
    <row r="705" ht="15.75" customHeight="1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M705" s="13"/>
    </row>
    <row r="706" ht="15.75" customHeight="1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M706" s="13"/>
    </row>
    <row r="707" ht="15.75" customHeight="1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M707" s="13"/>
    </row>
    <row r="708" ht="15.75" customHeight="1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M708" s="13"/>
    </row>
    <row r="709" ht="15.75" customHeight="1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M709" s="13"/>
    </row>
    <row r="710" ht="15.75" customHeight="1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M710" s="13"/>
    </row>
    <row r="711" ht="15.75" customHeight="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M711" s="13"/>
    </row>
    <row r="712" ht="15.75" customHeight="1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M712" s="13"/>
    </row>
    <row r="713" ht="15.75" customHeight="1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M713" s="13"/>
    </row>
    <row r="714" ht="15.75" customHeight="1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M714" s="13"/>
    </row>
    <row r="715" ht="15.75" customHeight="1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M715" s="13"/>
    </row>
    <row r="716" ht="15.75" customHeight="1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M716" s="13"/>
    </row>
    <row r="717" ht="15.75" customHeight="1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M717" s="13"/>
    </row>
    <row r="718" ht="15.75" customHeight="1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M718" s="13"/>
    </row>
    <row r="719" ht="15.75" customHeight="1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M719" s="13"/>
    </row>
    <row r="720" ht="15.75" customHeight="1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M720" s="13"/>
    </row>
    <row r="721" ht="15.75" customHeight="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M721" s="13"/>
    </row>
    <row r="722" ht="15.75" customHeight="1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M722" s="13"/>
    </row>
    <row r="723" ht="15.75" customHeight="1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M723" s="13"/>
    </row>
    <row r="724" ht="15.75" customHeight="1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M724" s="13"/>
    </row>
    <row r="725" ht="15.75" customHeight="1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M725" s="13"/>
    </row>
    <row r="726" ht="15.75" customHeight="1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M726" s="13"/>
    </row>
    <row r="727" ht="15.75" customHeight="1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M727" s="13"/>
    </row>
    <row r="728" ht="15.75" customHeight="1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M728" s="13"/>
    </row>
    <row r="729" ht="15.75" customHeight="1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M729" s="13"/>
    </row>
    <row r="730" ht="15.75" customHeight="1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M730" s="13"/>
    </row>
    <row r="731" ht="15.75" customHeight="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M731" s="13"/>
    </row>
    <row r="732" ht="15.75" customHeight="1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M732" s="13"/>
    </row>
    <row r="733" ht="15.75" customHeight="1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M733" s="13"/>
    </row>
    <row r="734" ht="15.75" customHeight="1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M734" s="13"/>
    </row>
    <row r="735" ht="15.75" customHeight="1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M735" s="13"/>
    </row>
    <row r="736" ht="15.75" customHeight="1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M736" s="13"/>
    </row>
    <row r="737" ht="15.75" customHeight="1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M737" s="13"/>
    </row>
    <row r="738" ht="15.75" customHeight="1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M738" s="13"/>
    </row>
    <row r="739" ht="15.75" customHeight="1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M739" s="13"/>
    </row>
    <row r="740" ht="15.75" customHeight="1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M740" s="13"/>
    </row>
    <row r="741" ht="15.75" customHeight="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M741" s="13"/>
    </row>
    <row r="742" ht="15.75" customHeight="1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M742" s="13"/>
    </row>
    <row r="743" ht="15.75" customHeight="1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M743" s="13"/>
    </row>
    <row r="744" ht="15.75" customHeight="1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M744" s="13"/>
    </row>
    <row r="745" ht="15.75" customHeight="1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M745" s="13"/>
    </row>
    <row r="746" ht="15.75" customHeight="1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M746" s="13"/>
    </row>
    <row r="747" ht="15.75" customHeight="1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M747" s="13"/>
    </row>
    <row r="748" ht="15.75" customHeight="1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M748" s="13"/>
    </row>
    <row r="749" ht="15.75" customHeight="1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M749" s="13"/>
    </row>
    <row r="750" ht="15.75" customHeight="1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M750" s="13"/>
    </row>
    <row r="751" ht="15.75" customHeight="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M751" s="13"/>
    </row>
    <row r="752" ht="15.75" customHeight="1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M752" s="13"/>
    </row>
    <row r="753" ht="15.75" customHeight="1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M753" s="13"/>
    </row>
    <row r="754" ht="15.75" customHeight="1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M754" s="13"/>
    </row>
    <row r="755" ht="15.75" customHeight="1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M755" s="13"/>
    </row>
    <row r="756" ht="15.75" customHeight="1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M756" s="13"/>
    </row>
    <row r="757" ht="15.75" customHeight="1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M757" s="13"/>
    </row>
    <row r="758" ht="15.75" customHeight="1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M758" s="13"/>
    </row>
    <row r="759" ht="15.75" customHeight="1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M759" s="13"/>
    </row>
    <row r="760" ht="15.75" customHeight="1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M760" s="13"/>
    </row>
    <row r="761" ht="15.75" customHeight="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M761" s="13"/>
    </row>
    <row r="762" ht="15.75" customHeight="1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M762" s="13"/>
    </row>
    <row r="763" ht="15.75" customHeight="1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M763" s="13"/>
    </row>
    <row r="764" ht="15.75" customHeight="1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M764" s="13"/>
    </row>
    <row r="765" ht="15.75" customHeight="1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M765" s="13"/>
    </row>
    <row r="766" ht="15.75" customHeight="1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M766" s="13"/>
    </row>
    <row r="767" ht="15.75" customHeight="1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M767" s="13"/>
    </row>
    <row r="768" ht="15.75" customHeight="1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M768" s="13"/>
    </row>
    <row r="769" ht="15.75" customHeight="1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M769" s="13"/>
    </row>
    <row r="770" ht="15.75" customHeight="1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M770" s="13"/>
    </row>
    <row r="771" ht="15.75" customHeight="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M771" s="13"/>
    </row>
    <row r="772" ht="15.75" customHeight="1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M772" s="13"/>
    </row>
    <row r="773" ht="15.75" customHeight="1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M773" s="13"/>
    </row>
    <row r="774" ht="15.75" customHeight="1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M774" s="13"/>
    </row>
    <row r="775" ht="15.75" customHeight="1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M775" s="13"/>
    </row>
    <row r="776" ht="15.75" customHeight="1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M776" s="13"/>
    </row>
    <row r="777" ht="15.75" customHeight="1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M777" s="13"/>
    </row>
    <row r="778" ht="15.75" customHeight="1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M778" s="13"/>
    </row>
    <row r="779" ht="15.75" customHeight="1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M779" s="13"/>
    </row>
    <row r="780" ht="15.75" customHeight="1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M780" s="13"/>
    </row>
    <row r="781" ht="15.75" customHeight="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M781" s="13"/>
    </row>
    <row r="782" ht="15.75" customHeight="1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M782" s="13"/>
    </row>
    <row r="783" ht="15.75" customHeight="1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M783" s="13"/>
    </row>
    <row r="784" ht="15.75" customHeight="1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M784" s="13"/>
    </row>
    <row r="785" ht="15.75" customHeight="1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M785" s="13"/>
    </row>
    <row r="786" ht="15.75" customHeight="1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M786" s="13"/>
    </row>
    <row r="787" ht="15.75" customHeight="1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M787" s="13"/>
    </row>
    <row r="788" ht="15.75" customHeight="1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M788" s="13"/>
    </row>
    <row r="789" ht="15.75" customHeight="1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M789" s="13"/>
    </row>
    <row r="790" ht="15.75" customHeight="1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M790" s="13"/>
    </row>
    <row r="791" ht="15.75" customHeight="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M791" s="13"/>
    </row>
    <row r="792" ht="15.75" customHeight="1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M792" s="13"/>
    </row>
    <row r="793" ht="15.75" customHeight="1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M793" s="13"/>
    </row>
    <row r="794" ht="15.75" customHeight="1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M794" s="13"/>
    </row>
    <row r="795" ht="15.75" customHeight="1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M795" s="13"/>
    </row>
    <row r="796" ht="15.75" customHeight="1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M796" s="13"/>
    </row>
    <row r="797" ht="15.75" customHeight="1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M797" s="13"/>
    </row>
    <row r="798" ht="15.75" customHeight="1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M798" s="13"/>
    </row>
    <row r="799" ht="15.75" customHeight="1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M799" s="13"/>
    </row>
    <row r="800" ht="15.75" customHeight="1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M800" s="13"/>
    </row>
    <row r="801" ht="15.75" customHeight="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M801" s="13"/>
    </row>
    <row r="802" ht="15.75" customHeight="1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M802" s="13"/>
    </row>
    <row r="803" ht="15.75" customHeight="1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M803" s="13"/>
    </row>
    <row r="804" ht="15.75" customHeight="1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M804" s="13"/>
    </row>
    <row r="805" ht="15.75" customHeight="1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M805" s="13"/>
    </row>
    <row r="806" ht="15.75" customHeight="1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M806" s="13"/>
    </row>
    <row r="807" ht="15.75" customHeight="1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M807" s="13"/>
    </row>
    <row r="808" ht="15.75" customHeight="1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M808" s="13"/>
    </row>
    <row r="809" ht="15.75" customHeight="1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M809" s="13"/>
    </row>
    <row r="810" ht="15.75" customHeight="1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M810" s="13"/>
    </row>
    <row r="811" ht="15.75" customHeight="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M811" s="13"/>
    </row>
    <row r="812" ht="15.75" customHeight="1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M812" s="13"/>
    </row>
    <row r="813" ht="15.75" customHeight="1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M813" s="13"/>
    </row>
    <row r="814" ht="15.75" customHeight="1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M814" s="13"/>
    </row>
    <row r="815" ht="15.75" customHeight="1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M815" s="13"/>
    </row>
    <row r="816" ht="15.75" customHeight="1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M816" s="13"/>
    </row>
    <row r="817" ht="15.75" customHeight="1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M817" s="13"/>
    </row>
    <row r="818" ht="15.75" customHeight="1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M818" s="13"/>
    </row>
    <row r="819" ht="15.75" customHeight="1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M819" s="13"/>
    </row>
    <row r="820" ht="15.75" customHeight="1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M820" s="13"/>
    </row>
    <row r="821" ht="15.75" customHeight="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M821" s="13"/>
    </row>
    <row r="822" ht="15.75" customHeight="1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M822" s="13"/>
    </row>
    <row r="823" ht="15.75" customHeight="1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M823" s="13"/>
    </row>
    <row r="824" ht="15.75" customHeight="1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M824" s="13"/>
    </row>
    <row r="825" ht="15.75" customHeight="1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M825" s="13"/>
    </row>
    <row r="826" ht="15.75" customHeight="1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M826" s="13"/>
    </row>
    <row r="827" ht="15.75" customHeight="1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M827" s="13"/>
    </row>
    <row r="828" ht="15.75" customHeight="1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M828" s="13"/>
    </row>
    <row r="829" ht="15.75" customHeight="1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M829" s="13"/>
    </row>
    <row r="830" ht="15.75" customHeight="1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M830" s="13"/>
    </row>
    <row r="831" ht="15.75" customHeight="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M831" s="13"/>
    </row>
    <row r="832" ht="15.75" customHeight="1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M832" s="13"/>
    </row>
    <row r="833" ht="15.75" customHeight="1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M833" s="13"/>
    </row>
    <row r="834" ht="15.75" customHeight="1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M834" s="13"/>
    </row>
    <row r="835" ht="15.75" customHeight="1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M835" s="13"/>
    </row>
    <row r="836" ht="15.75" customHeight="1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M836" s="13"/>
    </row>
    <row r="837" ht="15.75" customHeight="1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M837" s="13"/>
    </row>
    <row r="838" ht="15.75" customHeight="1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M838" s="13"/>
    </row>
    <row r="839" ht="15.75" customHeight="1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M839" s="13"/>
    </row>
    <row r="840" ht="15.75" customHeight="1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M840" s="13"/>
    </row>
    <row r="841" ht="15.75" customHeight="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M841" s="13"/>
    </row>
    <row r="842" ht="15.75" customHeight="1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M842" s="13"/>
    </row>
    <row r="843" ht="15.75" customHeight="1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M843" s="13"/>
    </row>
    <row r="844" ht="15.75" customHeight="1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M844" s="13"/>
    </row>
    <row r="845" ht="15.75" customHeight="1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M845" s="13"/>
    </row>
    <row r="846" ht="15.75" customHeight="1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M846" s="13"/>
    </row>
    <row r="847" ht="15.75" customHeight="1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M847" s="13"/>
    </row>
    <row r="848" ht="15.75" customHeight="1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M848" s="13"/>
    </row>
    <row r="849" ht="15.75" customHeight="1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M849" s="13"/>
    </row>
    <row r="850" ht="15.75" customHeight="1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M850" s="13"/>
    </row>
    <row r="851" ht="15.75" customHeight="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M851" s="13"/>
    </row>
    <row r="852" ht="15.75" customHeight="1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M852" s="13"/>
    </row>
    <row r="853" ht="15.75" customHeight="1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M853" s="13"/>
    </row>
    <row r="854" ht="15.75" customHeight="1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M854" s="13"/>
    </row>
    <row r="855" ht="15.75" customHeight="1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M855" s="13"/>
    </row>
    <row r="856" ht="15.75" customHeight="1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M856" s="13"/>
    </row>
    <row r="857" ht="15.75" customHeight="1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M857" s="13"/>
    </row>
    <row r="858" ht="15.75" customHeight="1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M858" s="13"/>
    </row>
    <row r="859" ht="15.75" customHeight="1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M859" s="13"/>
    </row>
    <row r="860" ht="15.75" customHeight="1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M860" s="13"/>
    </row>
    <row r="861" ht="15.75" customHeight="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M861" s="13"/>
    </row>
    <row r="862" ht="15.75" customHeight="1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M862" s="13"/>
    </row>
    <row r="863" ht="15.75" customHeight="1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M863" s="13"/>
    </row>
    <row r="864" ht="15.75" customHeight="1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M864" s="13"/>
    </row>
    <row r="865" ht="15.75" customHeight="1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M865" s="13"/>
    </row>
    <row r="866" ht="15.75" customHeight="1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M866" s="13"/>
    </row>
    <row r="867" ht="15.75" customHeight="1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M867" s="13"/>
    </row>
    <row r="868" ht="15.75" customHeight="1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M868" s="13"/>
    </row>
    <row r="869" ht="15.75" customHeight="1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M869" s="13"/>
    </row>
    <row r="870" ht="15.75" customHeight="1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M870" s="13"/>
    </row>
    <row r="871" ht="15.75" customHeight="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M871" s="13"/>
    </row>
    <row r="872" ht="15.75" customHeight="1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M872" s="13"/>
    </row>
    <row r="873" ht="15.75" customHeight="1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M873" s="13"/>
    </row>
    <row r="874" ht="15.75" customHeight="1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M874" s="13"/>
    </row>
    <row r="875" ht="15.75" customHeight="1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M875" s="13"/>
    </row>
    <row r="876" ht="15.75" customHeight="1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M876" s="13"/>
    </row>
    <row r="877" ht="15.75" customHeight="1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M877" s="13"/>
    </row>
    <row r="878" ht="15.75" customHeight="1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M878" s="13"/>
    </row>
    <row r="879" ht="15.75" customHeight="1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M879" s="13"/>
    </row>
    <row r="880" ht="15.75" customHeight="1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M880" s="13"/>
    </row>
    <row r="881" ht="15.75" customHeight="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M881" s="13"/>
    </row>
    <row r="882" ht="15.75" customHeight="1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M882" s="13"/>
    </row>
    <row r="883" ht="15.75" customHeight="1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M883" s="13"/>
    </row>
    <row r="884" ht="15.75" customHeight="1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M884" s="13"/>
    </row>
    <row r="885" ht="15.75" customHeight="1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M885" s="13"/>
    </row>
    <row r="886" ht="15.75" customHeight="1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M886" s="13"/>
    </row>
    <row r="887" ht="15.75" customHeight="1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M887" s="13"/>
    </row>
    <row r="888" ht="15.75" customHeight="1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M888" s="13"/>
    </row>
    <row r="889" ht="15.75" customHeight="1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M889" s="13"/>
    </row>
    <row r="890" ht="15.75" customHeight="1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M890" s="13"/>
    </row>
    <row r="891" ht="15.75" customHeight="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M891" s="13"/>
    </row>
    <row r="892" ht="15.75" customHeight="1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M892" s="13"/>
    </row>
    <row r="893" ht="15.75" customHeight="1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M893" s="13"/>
    </row>
    <row r="894" ht="15.75" customHeight="1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M894" s="13"/>
    </row>
    <row r="895" ht="15.75" customHeight="1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M895" s="13"/>
    </row>
    <row r="896" ht="15.75" customHeight="1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M896" s="13"/>
    </row>
    <row r="897" ht="15.75" customHeight="1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M897" s="13"/>
    </row>
    <row r="898" ht="15.75" customHeight="1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M898" s="13"/>
    </row>
    <row r="899" ht="15.75" customHeight="1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M899" s="13"/>
    </row>
    <row r="900" ht="15.75" customHeight="1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M900" s="13"/>
    </row>
    <row r="901" ht="15.75" customHeight="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M901" s="13"/>
    </row>
    <row r="902" ht="15.75" customHeight="1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M902" s="13"/>
    </row>
    <row r="903" ht="15.75" customHeight="1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M903" s="13"/>
    </row>
    <row r="904" ht="15.75" customHeight="1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M904" s="13"/>
    </row>
    <row r="905" ht="15.75" customHeight="1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M905" s="13"/>
    </row>
    <row r="906" ht="15.75" customHeight="1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M906" s="13"/>
    </row>
    <row r="907" ht="15.75" customHeight="1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M907" s="13"/>
    </row>
    <row r="908" ht="15.75" customHeight="1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M908" s="13"/>
    </row>
    <row r="909" ht="15.75" customHeight="1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M909" s="13"/>
    </row>
    <row r="910" ht="15.75" customHeight="1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M910" s="13"/>
    </row>
    <row r="911" ht="15.75" customHeight="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M911" s="13"/>
    </row>
    <row r="912" ht="15.75" customHeight="1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M912" s="13"/>
    </row>
    <row r="913" ht="15.75" customHeight="1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M913" s="13"/>
    </row>
    <row r="914" ht="15.75" customHeight="1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M914" s="13"/>
    </row>
    <row r="915" ht="15.75" customHeight="1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M915" s="13"/>
    </row>
    <row r="916" ht="15.75" customHeight="1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M916" s="13"/>
    </row>
    <row r="917" ht="15.75" customHeight="1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M917" s="13"/>
    </row>
    <row r="918" ht="15.75" customHeight="1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M918" s="13"/>
    </row>
    <row r="919" ht="15.75" customHeight="1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M919" s="13"/>
    </row>
    <row r="920" ht="15.75" customHeight="1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M920" s="13"/>
    </row>
    <row r="921" ht="15.75" customHeight="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M921" s="13"/>
    </row>
    <row r="922" ht="15.75" customHeight="1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M922" s="13"/>
    </row>
    <row r="923" ht="15.75" customHeight="1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M923" s="13"/>
    </row>
    <row r="924" ht="15.75" customHeight="1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M924" s="13"/>
    </row>
    <row r="925" ht="15.75" customHeight="1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M925" s="13"/>
    </row>
    <row r="926" ht="15.75" customHeight="1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M926" s="13"/>
    </row>
    <row r="927" ht="15.75" customHeight="1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M927" s="13"/>
    </row>
    <row r="928" ht="15.75" customHeight="1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M928" s="13"/>
    </row>
    <row r="929" ht="15.75" customHeight="1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M929" s="13"/>
    </row>
    <row r="930" ht="15.75" customHeight="1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M930" s="13"/>
    </row>
    <row r="931" ht="15.75" customHeight="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M931" s="13"/>
    </row>
    <row r="932" ht="15.75" customHeight="1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M932" s="13"/>
    </row>
    <row r="933" ht="15.75" customHeight="1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M933" s="13"/>
    </row>
    <row r="934" ht="15.75" customHeight="1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M934" s="13"/>
    </row>
    <row r="935" ht="15.75" customHeight="1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M935" s="13"/>
    </row>
    <row r="936" ht="15.75" customHeight="1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M936" s="13"/>
    </row>
    <row r="937" ht="15.75" customHeight="1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M937" s="13"/>
    </row>
    <row r="938" ht="15.75" customHeight="1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M938" s="13"/>
    </row>
    <row r="939" ht="15.75" customHeight="1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M939" s="13"/>
    </row>
    <row r="940" ht="15.75" customHeight="1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M940" s="13"/>
    </row>
    <row r="941" ht="15.75" customHeight="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M941" s="13"/>
    </row>
    <row r="942" ht="15.75" customHeight="1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M942" s="13"/>
    </row>
    <row r="943" ht="15.75" customHeight="1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M943" s="13"/>
    </row>
    <row r="944" ht="15.75" customHeight="1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M944" s="13"/>
    </row>
    <row r="945" ht="15.75" customHeight="1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M945" s="13"/>
    </row>
    <row r="946" ht="15.75" customHeight="1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M946" s="13"/>
    </row>
    <row r="947" ht="15.75" customHeight="1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M947" s="13"/>
    </row>
    <row r="948" ht="15.75" customHeight="1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M948" s="13"/>
    </row>
    <row r="949" ht="15.75" customHeight="1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M949" s="13"/>
    </row>
    <row r="950" ht="15.75" customHeight="1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M950" s="13"/>
    </row>
    <row r="951" ht="15.75" customHeight="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M951" s="13"/>
    </row>
    <row r="952" ht="15.75" customHeight="1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M952" s="13"/>
    </row>
    <row r="953" ht="15.75" customHeight="1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M953" s="13"/>
    </row>
    <row r="954" ht="15.75" customHeight="1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M954" s="13"/>
    </row>
    <row r="955" ht="15.75" customHeight="1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M955" s="13"/>
    </row>
    <row r="956" ht="15.75" customHeight="1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M956" s="13"/>
    </row>
    <row r="957" ht="15.75" customHeight="1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M957" s="13"/>
    </row>
    <row r="958" ht="15.75" customHeight="1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M958" s="13"/>
    </row>
    <row r="959" ht="15.75" customHeight="1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M959" s="13"/>
    </row>
    <row r="960" ht="15.75" customHeight="1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M960" s="13"/>
    </row>
    <row r="961" ht="15.75" customHeight="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M961" s="13"/>
    </row>
    <row r="962" ht="15.75" customHeight="1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M962" s="13"/>
    </row>
    <row r="963" ht="15.75" customHeight="1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M963" s="13"/>
    </row>
    <row r="964" ht="15.75" customHeight="1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M964" s="13"/>
    </row>
    <row r="965" ht="15.75" customHeight="1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M965" s="13"/>
    </row>
    <row r="966" ht="15.75" customHeight="1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M966" s="13"/>
    </row>
    <row r="967" ht="15.75" customHeight="1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M967" s="13"/>
    </row>
    <row r="968" ht="15.75" customHeight="1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M968" s="13"/>
    </row>
    <row r="969" ht="15.75" customHeight="1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M969" s="13"/>
    </row>
    <row r="970" ht="15.75" customHeight="1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M970" s="13"/>
    </row>
    <row r="971" ht="15.75" customHeight="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M971" s="13"/>
    </row>
    <row r="972" ht="15.75" customHeight="1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M972" s="13"/>
    </row>
    <row r="973" ht="15.75" customHeight="1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M973" s="13"/>
    </row>
    <row r="974" ht="15.75" customHeight="1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M974" s="13"/>
    </row>
    <row r="975" ht="15.75" customHeight="1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M975" s="13"/>
    </row>
    <row r="976" ht="15.75" customHeight="1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M976" s="13"/>
    </row>
    <row r="977" ht="15.75" customHeight="1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M977" s="13"/>
    </row>
    <row r="978" ht="15.75" customHeight="1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M978" s="13"/>
    </row>
    <row r="979" ht="15.75" customHeight="1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M979" s="13"/>
    </row>
    <row r="980" ht="15.75" customHeight="1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M980" s="13"/>
    </row>
    <row r="981" ht="15.75" customHeight="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M981" s="13"/>
    </row>
    <row r="982" ht="15.75" customHeight="1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M982" s="13"/>
    </row>
    <row r="983" ht="15.75" customHeight="1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M983" s="13"/>
    </row>
    <row r="984" ht="15.75" customHeight="1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M984" s="13"/>
    </row>
    <row r="985" ht="15.75" customHeight="1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M985" s="13"/>
    </row>
    <row r="986" ht="15.75" customHeight="1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M986" s="13"/>
    </row>
    <row r="987" ht="15.75" customHeight="1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M987" s="13"/>
    </row>
    <row r="988" ht="15.75" customHeight="1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M988" s="13"/>
    </row>
    <row r="989" ht="15.75" customHeight="1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M989" s="13"/>
    </row>
    <row r="990" ht="15.75" customHeight="1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M990" s="13"/>
    </row>
    <row r="991" ht="15.75" customHeight="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M991" s="13"/>
    </row>
    <row r="992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M992" s="13"/>
    </row>
    <row r="993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M993" s="13"/>
    </row>
    <row r="994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M994" s="13"/>
    </row>
    <row r="995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M995" s="13"/>
    </row>
    <row r="99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M996" s="13"/>
    </row>
    <row r="997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M997" s="13"/>
    </row>
    <row r="998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M998" s="13"/>
    </row>
    <row r="999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M999" s="13"/>
    </row>
    <row r="1000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M1000" s="13"/>
    </row>
  </sheetData>
  <conditionalFormatting sqref="L1:L1000">
    <cfRule type="containsText" dxfId="0" priority="1" operator="containsText" text="TRUE">
      <formula>NOT(ISERROR(SEARCH(("TRUE"),(L1))))</formula>
    </cfRule>
  </conditionalFormatting>
  <conditionalFormatting sqref="L1:L1000">
    <cfRule type="containsText" dxfId="1" priority="2" operator="containsText" text="FALSE">
      <formula>NOT(ISERROR(SEARCH(("FALSE"),(L1))))</formula>
    </cfRule>
  </conditionalFormatting>
  <printOptions/>
  <pageMargins bottom="1.0" footer="0.0" header="0.0" left="0.75" right="0.75" top="1.0"/>
  <pageSetup orientation="landscape"/>
  <drawing r:id="rId1"/>
</worksheet>
</file>